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S3 UNM - PENDIDIKAN VOKASI KETEKNIKAN\DISERTASI S3 - MASRUHIN\HASIL DISERTASI\"/>
    </mc:Choice>
  </mc:AlternateContent>
  <xr:revisionPtr revIDLastSave="0" documentId="13_ncr:1_{2D39342E-0295-4709-92B1-E5C2BB21631D}" xr6:coauthVersionLast="47" xr6:coauthVersionMax="47" xr10:uidLastSave="{00000000-0000-0000-0000-000000000000}"/>
  <bookViews>
    <workbookView xWindow="-98" yWindow="-98" windowWidth="21795" windowHeight="12975" tabRatio="952" firstSheet="2" activeTab="7" xr2:uid="{4A1D2E24-CBBA-4CEE-9D2F-A34260837BF0}"/>
  </bookViews>
  <sheets>
    <sheet name="Panduan Penggunaan" sheetId="6" r:id="rId1"/>
    <sheet name="KOMPONEN EKG" sheetId="7" r:id="rId2"/>
    <sheet name="1 (Mutu Guru) " sheetId="3" r:id="rId3"/>
    <sheet name="2 (PBM)" sheetId="13" r:id="rId4"/>
    <sheet name="3 (Influencing Factor)" sheetId="18" r:id="rId5"/>
    <sheet name="Kebutuhan Dokumen" sheetId="19" r:id="rId6"/>
    <sheet name="Bukti Kinerja" sheetId="15" r:id="rId7"/>
    <sheet name="Analisis Menyilang " sheetId="17" r:id="rId8"/>
    <sheet name="REKOMENDASI" sheetId="11" r:id="rId9"/>
    <sheet name="Report Kinerja Perorang" sheetId="16" r:id="rId10"/>
  </sheets>
  <externalReferences>
    <externalReference r:id="rId11"/>
  </externalReferences>
  <definedNames>
    <definedName name="a">'1 (Mutu Guru) '!$WYW$2</definedName>
    <definedName name="Butir2">'[1]Komponen 1 - BORANG'!#REF!</definedName>
    <definedName name="_xlnm.Print_Area" localSheetId="0">'Panduan Penggunaan'!$A$1:$H$14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16" l="1"/>
  <c r="C35" i="16"/>
  <c r="F27" i="17"/>
  <c r="K5" i="15"/>
  <c r="F6" i="17"/>
  <c r="F7" i="17"/>
  <c r="F8" i="17"/>
  <c r="F10" i="17"/>
  <c r="F12" i="17"/>
  <c r="F13" i="17"/>
  <c r="F14" i="17"/>
  <c r="F15" i="17"/>
  <c r="F16" i="17"/>
  <c r="F17" i="17"/>
  <c r="F18" i="17"/>
  <c r="F19" i="17"/>
  <c r="F20" i="17"/>
  <c r="F21" i="17"/>
  <c r="F22" i="17"/>
  <c r="F23" i="17"/>
  <c r="F24" i="17"/>
  <c r="F25" i="17"/>
  <c r="F26" i="17"/>
  <c r="F28" i="17"/>
  <c r="F29" i="17"/>
  <c r="F5" i="17"/>
  <c r="F4" i="17"/>
  <c r="D11" i="16"/>
  <c r="D12" i="16"/>
  <c r="D13" i="16"/>
  <c r="D14" i="16"/>
  <c r="D15" i="16"/>
  <c r="D16" i="16"/>
  <c r="D17" i="16"/>
  <c r="D18" i="16"/>
  <c r="D19" i="16"/>
  <c r="D20" i="16"/>
  <c r="D21" i="16"/>
  <c r="D22" i="16"/>
  <c r="D23" i="16"/>
  <c r="D24" i="16"/>
  <c r="D25" i="16"/>
  <c r="D26" i="16"/>
  <c r="D27" i="16"/>
  <c r="D28" i="16"/>
  <c r="D29" i="16"/>
  <c r="D30" i="16"/>
  <c r="D31" i="16"/>
  <c r="D32" i="16"/>
  <c r="D33" i="16"/>
  <c r="D34" i="16"/>
  <c r="C11" i="16"/>
  <c r="C12" i="16"/>
  <c r="C13" i="16"/>
  <c r="C14" i="16"/>
  <c r="C15" i="16"/>
  <c r="C16" i="16"/>
  <c r="C17" i="16"/>
  <c r="C18" i="16"/>
  <c r="C19" i="16"/>
  <c r="C20" i="16"/>
  <c r="C21" i="16"/>
  <c r="C22" i="16"/>
  <c r="C23" i="16"/>
  <c r="C24" i="16"/>
  <c r="C25" i="16"/>
  <c r="C26" i="16"/>
  <c r="C27" i="16"/>
  <c r="C28" i="16"/>
  <c r="C29" i="16"/>
  <c r="C30" i="16"/>
  <c r="C31" i="16"/>
  <c r="C32" i="16"/>
  <c r="C33" i="16"/>
  <c r="C34" i="16"/>
  <c r="C10" i="16"/>
  <c r="D10" i="16"/>
  <c r="E3" i="11"/>
</calcChain>
</file>

<file path=xl/sharedStrings.xml><?xml version="1.0" encoding="utf-8"?>
<sst xmlns="http://schemas.openxmlformats.org/spreadsheetml/2006/main" count="409" uniqueCount="276">
  <si>
    <r>
      <t>Langkah Penggunaan Lembar Kerja Penggalian Data dan Penilaian</t>
    </r>
    <r>
      <rPr>
        <sz val="16"/>
        <color theme="1"/>
        <rFont val="Calibri"/>
        <family val="2"/>
        <scheme val="minor"/>
      </rPr>
      <t>. Untuk menggunakan lembar ini, berikut langkah yang perlu dilalui:</t>
    </r>
  </si>
  <si>
    <t>Nomor Butir</t>
  </si>
  <si>
    <t>KURANG</t>
  </si>
  <si>
    <t>CUKUP BAIK</t>
  </si>
  <si>
    <t>BAIK</t>
  </si>
  <si>
    <t>SANGAT BAIK</t>
  </si>
  <si>
    <t>PENILAIAN EVALUATOR</t>
  </si>
  <si>
    <t>BUKTI</t>
  </si>
  <si>
    <t>RASIONAL PENILAIAN DAN IDENTIFIKASI BUKTI YANG DIGUNAKAN</t>
  </si>
  <si>
    <t>JUSTIFIKASI DAN IDENTIFIKASI BUKTI YANG DIGUNAKAN UNTUK PENILAIAN KURANG ATAU SANGAT BAIK</t>
  </si>
  <si>
    <t>Komponen</t>
  </si>
  <si>
    <t>Sub Komponen</t>
  </si>
  <si>
    <t>Butir Kinerja</t>
  </si>
  <si>
    <t>Mutu Guru</t>
  </si>
  <si>
    <t>Kompetensi Guru</t>
  </si>
  <si>
    <t>PERENCANAAN PEMBELAJARAN AKTIF KREATIF INOVATIF, LINGKUNGAN TIK</t>
  </si>
  <si>
    <t>Pengembangan Profesi Guru</t>
  </si>
  <si>
    <t>EVALUASI DIRI, REFLEKSI DAN PENGEMBANGAN KOMPETENSI</t>
  </si>
  <si>
    <t>PENGEMBANGAN PROFESI BERKELANJUTAN</t>
  </si>
  <si>
    <t>Inovasi dan Kreativitas Guru</t>
  </si>
  <si>
    <t>STRATEGI MODEL METODE TEKNIK MEDIA</t>
  </si>
  <si>
    <t>Kompetensi Teknis Guru</t>
  </si>
  <si>
    <t>Proses Pembelajaran</t>
  </si>
  <si>
    <t>Kualitas Pembelajaran</t>
  </si>
  <si>
    <t>PEMBELAJARAN AKTIF, BERFIKIR TINGKAT TINGGI DAN EFEKTIF</t>
  </si>
  <si>
    <t>PENILAIAN PROSES HASIL BELAJAR SEBAGAI DASAR PERBAIKAN</t>
  </si>
  <si>
    <t>PROGRAM REMEDIAL/PENGAYAAN</t>
  </si>
  <si>
    <t>Iklim Belajar</t>
  </si>
  <si>
    <t>PARTISIPASI AKTIF SISWA DAN SUASAN BELAJAR</t>
  </si>
  <si>
    <t>PEMBIASAAN LITERASI MEMBACA MENULIS OLEH GURU</t>
  </si>
  <si>
    <t>SUASANA BELAJAR AMAN NYAMAN BERSIH MUDAH</t>
  </si>
  <si>
    <t>Pemamfaatan Sarpras</t>
  </si>
  <si>
    <t>OPTIMASI SARANA PRASARANA</t>
  </si>
  <si>
    <t>Teaching Factory</t>
  </si>
  <si>
    <t>Praktek Kerja Lapangan (PKL)</t>
  </si>
  <si>
    <t>PKL/Prakerin</t>
  </si>
  <si>
    <t>Influencing Factors</t>
  </si>
  <si>
    <t>Faktor Internal</t>
  </si>
  <si>
    <t>Faktor Eksternal</t>
  </si>
  <si>
    <t>No.</t>
  </si>
  <si>
    <t>Komitmen Profesional (professional commitment</t>
  </si>
  <si>
    <t>Motivasi kerja (work motivation)</t>
  </si>
  <si>
    <t>Efikasi diri, kepuasan kerja, dan keterikatan kerja</t>
  </si>
  <si>
    <t>Kesehatan Psikologis (Burnout)</t>
  </si>
  <si>
    <t>Resiliensi (ketangguhan)</t>
  </si>
  <si>
    <t>Kepemimpinan kepala sekolah (instructional leadership)</t>
  </si>
  <si>
    <t>Sarana dan Prasarana (fisik &amp; digital)</t>
  </si>
  <si>
    <t>Kolaborasi dengan industri &amp; ekosistem WBL/PKL</t>
  </si>
  <si>
    <t>Sistem penghargaan/kompensasi &amp; jalur karier</t>
  </si>
  <si>
    <t>Lingkungan/iklim sekolah</t>
  </si>
  <si>
    <t>Kompetensi Teknis/Magang</t>
  </si>
  <si>
    <t>Unit produksi/business center/technopark/Teaching Factory</t>
  </si>
  <si>
    <t>Level Kinerja</t>
  </si>
  <si>
    <t>WHAT</t>
  </si>
  <si>
    <t>Proses pembelajaran yang aktif, kreatif dan menyenangkan merupakan sebuah kondisi pembelajaran yang dinamis dengan adanya interaksi antara sesama siswa dan antara siswa dan guru yang menjadikan siswa antusias dalam belajar. Pemamfaatan secara optimal terhadap sarana dan prasarana yang ada didalam/diluar disekolah baik yang tersedia ataupun dikreasikan oleh guru/siswa sebagai media dan sumber belajar siswa tentunya akan memberikan dampak yang besar terhadap peningkatan belajar siswa.</t>
  </si>
  <si>
    <t>Seorang guru haruslah mampu  menyusun dan mengembangkan RPP yang mengoptimalkan lingkungan sekitar dan pemamfaatan TIK yang ada.</t>
  </si>
  <si>
    <t>WHY</t>
  </si>
  <si>
    <t>Karena dewasa ini, tuntutan agar pemamfaatan sarana dan prasarana sebagai media/sumber belajar sangat besar untuk menciptakan suasana belajar yang dinamis dan menyenangkan</t>
  </si>
  <si>
    <t>Perkembangan kehidupan dunia yang cepat menuntut agar guru menguasai cara memamfaatkan TIK serta lingkungan sekitar dalam melaksanakan kegiatan pembelajaran</t>
  </si>
  <si>
    <t>HOW</t>
  </si>
  <si>
    <t>Pertama, Guru memvariasikan strategi/model/metode/teknik yang dalam pembelajaran agar suasana belajar yang dinamis, aktif, kreatif dan menyenangkan, membiasakan siswa untuk mengajukan pertanyaan dan mendorong siswa agar memberikan jawaban/solusi dari sebuah masalah yang diberikan. Kedua, pengelola sarana prasarana perlu melakukan langkah-langkah yang dibutuhkan agar sarpras yang ada dapat dengan mudah dijadikan sebagai media/sumber belajar.</t>
  </si>
  <si>
    <t>Melakukan melakukan kegiatan yang bisa mengembangkan kompetensi guru, baik itu dalam bentuk memperbanyak telaah referensi maupun mengikuti diklat, dll</t>
  </si>
  <si>
    <t>LEVEL KINERJA</t>
  </si>
  <si>
    <t>Karakter Sekolah Kejuruan/Vokasi</t>
  </si>
  <si>
    <t>Note:</t>
  </si>
  <si>
    <t>Pembuktian Kinerja</t>
  </si>
  <si>
    <t>Telaah Dokumen</t>
  </si>
  <si>
    <t>Guru</t>
  </si>
  <si>
    <t>Siswa</t>
  </si>
  <si>
    <t>Observasi</t>
  </si>
  <si>
    <t>Wawancara</t>
  </si>
  <si>
    <t>Motivasi kerja (work motivation</t>
  </si>
  <si>
    <t>Kesehatan Psikologis (Burnout).</t>
  </si>
  <si>
    <t>Resiliensi (ketangguhan</t>
  </si>
  <si>
    <t>Kesimpulan</t>
  </si>
  <si>
    <t>Kriteria Penilaian</t>
  </si>
  <si>
    <t>Nama Pegawai</t>
  </si>
  <si>
    <t>Nomor Butir Kinerja</t>
  </si>
  <si>
    <t>Ali Khamenei</t>
  </si>
  <si>
    <t>SB</t>
  </si>
  <si>
    <t>B</t>
  </si>
  <si>
    <t>KB</t>
  </si>
  <si>
    <t>TB</t>
  </si>
  <si>
    <t xml:space="preserve">Kriteria Penilaian </t>
  </si>
  <si>
    <t>Kepala/ Wakasek</t>
  </si>
  <si>
    <t xml:space="preserve">Nama </t>
  </si>
  <si>
    <t>Nip</t>
  </si>
  <si>
    <t>Mata Pelajaran yang diampu</t>
  </si>
  <si>
    <t>Penilaian Kinerja</t>
  </si>
  <si>
    <t>Rapor Penilaian Kinerja</t>
  </si>
  <si>
    <t>Tahun Penilaian</t>
  </si>
  <si>
    <t>SANGAT KURANG</t>
  </si>
  <si>
    <t>Rekomendasi Tindak Lanjut 
WHAT - WHY - HOW</t>
  </si>
  <si>
    <t>ANALISIS MENYILANG
(WHAT-WHY-HOW)</t>
  </si>
  <si>
    <t>REKOMENDASI</t>
  </si>
  <si>
    <t>Analisis Menyilang</t>
  </si>
  <si>
    <t>No. Butir</t>
  </si>
  <si>
    <t>Unit Produksi/Business Center/Technopark/Teaching Factory</t>
  </si>
  <si>
    <t>Butir Kinerja 15: Komitmen Profesional (Professional Commitment)</t>
  </si>
  <si>
    <t>Guru menunjukkan komitmen profesional yang rendah dalam menjalankan tugas keguruan. Pelaksanaan tugas sering tidak konsisten, pengembangan kompetensi jarang dilakukan, dan kurang menunjukkan kepedulian terhadap peningkatan mutu pembelajaran SMK. Guru kurang mengikuti perkembangan keilmuan dan kebutuhan dunia kerja, serta menunjukkan sikap yang belum mencerminkan profesionalisme, baik dalam kedisiplinan, tanggung jawab, maupun etika profesi.</t>
  </si>
  <si>
    <t>Guru menunjukkan komitmen profesional yang cukup, namun masih bersifat administratif dan reaktif. Pelaksanaan tugas utama berjalan, tetapi pengembangan diri dilakukan secara terbatas dan belum berkelanjutan. Dalam pembelajaran kejuruan, guru cenderung menggunakan pendekatan dan materi yang belum sepenuhnya mutakhir atau selaras dengan kebutuhan industri. Kepatuhan terhadap etika dan tanggung jawab profesional ada, namun belum disertai inisiatif kuat untuk peningkatan kualitas diri dan pembelajaran.</t>
  </si>
  <si>
    <t>Guru menunjukkan komitmen profesional yang baik dan stabil dalam melaksanakan tugas pokok dan fungsi sebagai pendidik. Guru mengikuti kegiatan pengembangan profesional yang relevan dan menerapkan hasilnya dalam pembelajaran, termasuk dalam penguatan kompetensi kejuruan peserta didik. Guru melaksanakan tugas dengan tanggung jawab, mematuhi kode etik profesi, serta menunjukkan sikap positif terhadap peningkatan mutu pembelajaran dan layanan pendidikan SMK, meskipun belum secara konsisten berperan sebagai penggerak atau inovator.</t>
  </si>
  <si>
    <t>Guru menunjukkan komitmen profesional yang sangat tinggi dan konsisten dalam seluruh aspek tugas keguruan. Guru secara proaktif mengembangkan kompetensi pedagogik, profesional, sosial, dan kepribadian melalui pelatihan, sertifikasi, komunitas belajar, dan refleksi berkelanjutan. Dalam konteks SMK, guru aktif menyelaraskan pembelajaran dengan kebutuhan dunia kerja dan industri (DUDI), memperbarui materi ajar sesuai perkembangan teknologi, serta menjadi teladan etika kerja, disiplin, dan tanggung jawab profesional. Guru juga berperan sebagai penggerak, mentor, atau narasumber bagi rekan sejawat.</t>
  </si>
  <si>
    <t>Butir Kinerja 16: Motivasi kerja (Work Motivation).</t>
  </si>
  <si>
    <t>Guru menunjukkan motivasi kerja yang rendah dalam menjalankan tugas profesinya. Guru sering bekerja sekadar memenuhi kewajiban minimal, kurang bersemangat, dan mudah menghindari tanggung jawab tambahan. Kinerja cenderung menurun ketika tidak ada pengawasan langsung, serta kurang menunjukkan kepedulian terhadap kualitas pembelajaran dan perkembangan peserta didik SMK.</t>
  </si>
  <si>
    <t>Guru menunjukkan motivasi kerja yang cukup, namun belum konsisten. Pelaksanaan tugas lebih didorong oleh kewajiban administratif daripada dorongan internal untuk berprestasi. Guru menjalankan pembelajaran dan tugas tambahan ketika diminta, tetapi jarang menunjukkan inisiatif atau semangat untuk melakukan perbaikan dan inovasi. Respons terhadap tantangan kerja, termasuk dalam pembelajaran praktik kejuruan, masih bersifat pasif dan kurang antusias.</t>
  </si>
  <si>
    <t>Guru menunjukkan motivasi kerja yang baik dan stabil dalam menjalankan tugas utama sebagai pendidik SMK. Guru melaksanakan pekerjaan dengan tanggung jawab, menunjukkan semangat kerja yang positif, serta berupaya menyelesaikan tugas tepat waktu. Dalam pembelajaran, guru berusaha meningkatkan kualitas pengajaran dan keterlibatan siswa, meskipun inisiatif pengembangan dan upaya melampaui standar masih terbatas. Motivasi kerja guru cenderung dipengaruhi oleh faktor eksternal seperti penugasan dan supervisi.</t>
  </si>
  <si>
    <t>Guru menunjukkan motivasi kerja yang sangat tinggi, intrinsik, dan berkelanjutan dalam melaksanakan seluruh tugas profesional. Guru bekerja dengan antusias, penuh inisiatif, dan orientasi mutu, tidak hanya memenuhi kewajiban tetapi secara aktif mencari cara untuk meningkatkan kualitas pembelajaran dan layanan pendidikan SMK. Guru bersedia mengambil tanggung jawab tambahan, menghadapi tantangan pembelajaran kejuruan dengan sikap positif, serta konsisten menunjukkan semangat kerja yang menular kepada siswa dan rekan sejawat, termasuk dalam konteks pembelajaran berbasis industri dan praktik kerja.</t>
  </si>
  <si>
    <t>Butir Kinerja 17: Efikasi diri, kepuasan kerja, dan keterikatan kerja.</t>
  </si>
  <si>
    <t>Guru menunjukkan efikasi diri yang rendah dalam menjalankan tugas profesional. Guru kurang percaya terhadap kemampuan dirinya, sering menghindari tantangan, dan menunjukkan keraguan dalam mengelola pembelajaran. Ketergantungan terhadap arahan eksternal sangat tinggi, serta kecenderungan menyerah ketika menghadapi kesulitan pembelajaran atau permasalahan kelas. Kondisi ini berdampak pada rendahnya kualitas pembelajaran dan kurangnya kepercayaan peserta didik terhadap proses belajar.</t>
  </si>
  <si>
    <t>Guru menunjukkan efikasi diri yang cukup, namun belum konsisten. Guru sering ragu dalam mengambil keputusan pembelajaran dan cenderung bergantung pada arahan pihak lain. Keyakinan terhadap kemampuan diri muncul pada situasi rutin, tetapi menurun ketika menghadapi tantangan baru, perubahan kurikulum, atau tuntutan pembelajaran praktik kejuruan yang kompleks. Guru kurang percaya diri untuk mencoba strategi pembelajaran inovatif dan lebih memilih cara yang aman dan konvensional.</t>
  </si>
  <si>
    <t>Guru menunjukkan efikasi diri yang baik dalam menjalankan tugas pembelajaran dan tanggung jawab profesional. Guru percaya pada kemampuannya dalam mengelola kelas, menyampaikan materi kejuruan, dan menyelesaikan permasalahan pembelajaran yang umum. Guru bersedia mencoba pendekatan baru apabila didukung arahan atau pelatihan, namun keberanian untuk berinovasi dan mengambil risiko pedagogik masih terbatas. Secara umum, guru mampu bekerja secara mandiri dan menunjukkan keyakinan diri yang stabil.</t>
  </si>
  <si>
    <t>Guru menunjukkan efikasi diri yang sangat tinggi dan kuat dalam melaksanakan tugas profesional sebagai pendidik SMK. Guru memiliki keyakinan yang mantap terhadap kemampuannya dalam merancang, melaksanakan, dan mengevaluasi pembelajaran kejuruan, termasuk menghadapi kompleksitas pembelajaran praktik dan tuntutan dunia industri. Guru percaya diri mengambil keputusan pedagogik, berani mencoba strategi baru, serta mampu mengatasi tantangan dan kegagalan sebagai bagian dari proses peningkatan kualitas pembelajaran. Keyakinan diri guru berdampak positif pada kinerja, keteladanan, dan kepercayaan diri peserta didik.</t>
  </si>
  <si>
    <t>Butir Kinerja 18: Kesehatan Psikologis (Burnout).</t>
  </si>
  <si>
    <t>Guru menunjukkan kesehatan psikologis yang rendah dengan tingkat burnout tinggi. Guru mengalami kelelahan emosional berkepanjangan, sikap sinis terhadap pekerjaan, dan penurunan rasa pencapaian diri. Kondisi ini berdampak nyata pada kinerja pembelajaran, hubungan dengan siswa dan rekan kerja, serta komitmen terhadap tugas profesional. Guru cenderung menarik diri, mudah tertekan, dan membutuhkan intervensi atau pendampingan khusus.</t>
  </si>
  <si>
    <t>Guru menunjukkan kesehatan psikologis yang cukup, namun mulai memperlihatkan gejala burnout sedang. Guru sering merasa lelah secara emosional, jenuh, atau kehilangan energi kerja, terutama ketika menghadapi beban tugas yang tinggi dan tuntutan pembelajaran kejuruan. Kondisi ini mulai memengaruhi konsistensi kinerja, motivasi, dan kualitas interaksi dengan siswa, meskipun guru masih mampu menjalankan tugas utama dengan bantuan dukungan eksternal.</t>
  </si>
  <si>
    <t>Guru menunjukkan kesehatan psikologis yang baik dengan gejala burnout minimal dan terkendali. Guru masih mampu melaksanakan tugas pembelajaran dan tanggung jawab profesional secara konsisten, meskipun sesekali mengalami kelelahan kerja. Guru memiliki strategi coping yang cukup efektif dan dapat memulihkan kondisi psikologisnya tanpa berdampak signifikan pada kinerja dan interaksi dengan siswa. Kualitas pembelajaran tetap terjaga.</t>
  </si>
  <si>
    <t>Guru menunjukkan kesehatan psikologis yang sangat baik dan tingkat burnout yang sangat rendah. Guru mampu mengelola stres kerja secara efektif, menjaga keseimbangan antara tuntutan pekerjaan dan kondisi personal, serta tetap menunjukkan energi, antusiasme, dan keterlibatan tinggi dalam pembelajaran SMK. Guru memiliki ketahanan psikologis yang kuat, mampu meregulasi emosi saat menghadapi tekanan kerja (beban administrasi, pembelajaran praktik, hubungan dengan industri), dan menjadikan tantangan sebagai peluang untuk berkembang tanpa mengganggu kualitas kinerja.</t>
  </si>
  <si>
    <t>Butir Kinerja 19: Resiliensi (ketangguhan).</t>
  </si>
  <si>
    <t>Guru menunjukkan resiliensi yang rendah dalam menghadapi tantangan kerja. Guru mudah merasa tertekan, sulit beradaptasi dengan perubahan, dan cenderung menyerah ketika menghadapi hambatan atau kegagalan. Kondisi ini berdampak pada penurunan kualitas kinerja, hubungan kerja, dan keberlangsungan pembelajaran. Guru memerlukan pendampingan intensif untuk membangun kembali ketangguhan profesionalnya.</t>
  </si>
  <si>
    <t>Guru menunjukkan resiliensi yang cukup, namun belum konsisten. Guru dapat bertahan dalam situasi sulit, tetapi membutuhkan waktu lama untuk pulih dari tekanan atau kegagalan. Perubahan kebijakan, tuntutan administrasi, atau kompleksitas pembelajaran praktik kejuruan sering menurunkan semangat dan kinerja guru. Ketangguhan emosional dan adaptasi guru masih terbatas, sehingga memengaruhi stabilitas kinerja dan suasana pembelajaran.</t>
  </si>
  <si>
    <t>Guru menunjukkan resiliensi yang baik dalam menghadapi tekanan dan tantangan kerja. Guru mampu menyesuaikan diri dengan perubahan, mengatasi hambatan pembelajaran, dan mempertahankan kinerja pada tingkat yang stabil. Meskipun sesekali mengalami kesulitan emosional atau kelelahan, guru dapat pulih dan melanjutkan tugas secara efektif dengan dukungan yang wajar. Sikap adaptif dan ketekunan guru terlihat dalam pelaksanaan pembelajaran SMK sehari-hari.</t>
  </si>
  <si>
    <t>Guru menunjukkan resiliensi yang sangat tinggi dalam menghadapi berbagai tantangan profesional sebagai pendidik SMK. Guru mampu bangkit dengan cepat dari tekanan, kegagalan, atau perubahan kebijakan dan tuntutan pembelajaran kejuruan, serta menjadikannya sebagai peluang pembelajaran dan peningkatan kinerja. Guru tetap konsisten menjaga kualitas pembelajaran, bersikap optimis, adaptif, dan mampu mengelola emosi secara matang dalam situasi sulit. Ketangguhan guru memberikan dampak positif terhadap iklim belajar, budaya kerja sekolah, dan ketahanan peserta didik.</t>
  </si>
  <si>
    <t>Rekomendasi Tindak Lanjut Rekomendasi Tindak Lanjut 
WHAT - WHY - HOW</t>
  </si>
  <si>
    <t>Imbaskan ke teman sejawat</t>
  </si>
  <si>
    <t>=</t>
  </si>
  <si>
    <t>Perlu perbaikan</t>
  </si>
  <si>
    <t>Perlu peningkatan</t>
  </si>
  <si>
    <t>Perlu perbaikan segera</t>
  </si>
  <si>
    <t>dst</t>
  </si>
  <si>
    <t>Kepemimpinan kepala sekolah menunjukkan arah visi yang jelas, inspiratif, dan berorientasi mutu, serta mampu menciptakan budaya kerja profesional yang kuat di lingkungan SMK. Kepala sekolah secara konsisten melakukan supervisi akademik yang berkualitas, memberikan umpan balik konstruktif, serta memfasilitasi pengembangan kompetensi guru secara berkelanjutan. Komunikasi berjalan terbuka dan kolaboratif, serta keputusan diambil secara partisipatif. Dampaknya, guru menunjukkan kinerja yang tinggi, inovatif, disiplin, dan berorientasi pada peningkatan kualitas pembelajaran serta relevansi dengan dunia usaha dan industri (DUDI).</t>
  </si>
  <si>
    <t>Kepemimpinan kepala sekolah berjalan efektif dan mendukung pelaksanaan tugas guru. Kepala sekolah melakukan supervisi dan pembinaan secara rutin, menyediakan dukungan terhadap kegiatan pembelajaran, serta menjaga komunikasi yang baik dengan guru. Lingkungan kerja relatif kondusif dan terarah. Dampaknya, kinerja guru stabil, memenuhi standar, dan menunjukkan tanggung jawab profesional yang baik, meskipun inovasi dan pengembangan belum optimal.</t>
  </si>
  <si>
    <t>Kepemimpinan kepala sekolah masih bersifat administratif dan belum konsisten dalam memberikan pembinaan dan dukungan kepada guru. Supervisi belum berjalan optimal, komunikasi kurang intensif, dan kebijakan belum sepenuhnya berpihak pada pengembangan profesional guru. Dampaknya, kinerja guru cenderung fluktuatif, kurang inovatif, dan masih bergantung pada arahan eksternal.</t>
  </si>
  <si>
    <t>Kepemimpinan kepala sekolah menunjukkan kinerja yang lemah, minim arahan, dan kurang memberikan dukungan terhadap guru. Supervisi tidak berjalan, komunikasi tidak efektif, serta tidak ada upaya sistematis untuk meningkatkan kualitas pembelajaran. Lingkungan kerja menjadi kurang kondusif. Dampaknya, kinerja guru rendah, tidak terarah, dan kurang berkembang.</t>
  </si>
  <si>
    <t>Butir Kinerja 20: Kepemimpinan kepala sekolah (instructional leadership)</t>
  </si>
  <si>
    <t>Lingkungan/iklim sekolah sangat kondusif, kolaboratif, aman, dan berorientasi mutu, serta secara nyata mendukung peningkatan kinerja guru. Hubungan antarwarga sekolah harmonis, komunikasi terbuka, dan budaya kerja profesional tumbuh kuat. Guru merasa dihargai, didukung, dan termotivasi untuk berinovasi. Dalam konteks SMK, lingkungan sekolah juga mencerminkan budaya kerja industri (disiplin, kualitas, keselamatan kerja), sehingga mendorong guru melaksanakan pembelajaran yang relevan, produktif, dan berkualitas tinggi.</t>
  </si>
  <si>
    <t>Butir Kinerja 21: Lingkungan/Iklim Sekolah</t>
  </si>
  <si>
    <t>Lingkungan/iklim sekolah kondusif dan mendukung pelaksanaan tugas guru. Hubungan kerja berjalan baik, suasana sekolah relatif nyaman dan tertib, serta komunikasi cukup efektif. Guru dapat melaksanakan pembelajaran dengan baik dan stabil, meskipun budaya kolaborasi dan inovasi belum berkembang secara optimal.</t>
  </si>
  <si>
    <t>Lingkungan/iklim sekolah cukup kondusif, namun masih terdapat kendala dalam hubungan kerja, komunikasi, atau budaya sekolah. Kolaborasi antar guru belum optimal, suasana kerja kurang mendukung inovasi, dan terdapat faktor yang menghambat kenyamanan kerja. Dampaknya, kinerja guru cenderung fluktuatif dan belum maksimal.</t>
  </si>
  <si>
    <t>Lingkungan/iklim sekolah tidak kondusif, ditandai dengan hubungan kerja yang kurang harmonis, komunikasi yang tidak efektif, serta suasana kerja yang tidak mendukung. Terdapat konflik, ketidaknyamanan, atau budaya kerja yang negatif. Kondisi ini berdampak langsung pada rendahnya motivasi dan kinerja guru.</t>
  </si>
  <si>
    <t>Sarana dan prasarana sekolah sangat lengkap, modern, relevan dengan standar dunia usaha dan industri (DUDI), serta terkelola dengan baik. Fasilitas pembelajaran, terutama laboratorium/bengkel praktik, tersedia memadai, berfungsi optimal, dan mudah diakses oleh guru. Guru mampu memanfaatkan fasilitas secara maksimal untuk mengembangkan pembelajaran inovatif, berbasis praktik, dan teknologi. Kondisi ini secara signifikan meningkatkan kualitas pembelajaran dan kinerja guru.</t>
  </si>
  <si>
    <t>Sarana dan prasarana cukup lengkap dan layak digunakan untuk mendukung pembelajaran. Fasilitas tersedia sesuai kebutuhan dasar, meskipun belum sepenuhnya mutakhir atau setara dengan standar industri. Guru dapat melaksanakan pembelajaran dengan baik, meskipun inovasi masih terbatas oleh kondisi fasilitas.</t>
  </si>
  <si>
    <t>Sarana dan prasarana terbatas atau kurang sesuai dengan kebutuhan pembelajaran kejuruan. Beberapa fasilitas tidak lengkap, kurang berfungsi, atau tidak terbarui. Guru harus melakukan penyesuaian atau modifikasi dalam pembelajaran. Kondisi ini menyebabkan pembelajaran praktik kurang optimal dan berdampak pada kinerja guru.</t>
  </si>
  <si>
    <t>Sarana dan prasarana sangat terbatas, tidak layak, atau tidak tersedia sesuai kebutuhan. Fasilitas pembelajaran, terutama praktik, tidak dapat digunakan secara efektif. Guru mengalami kesulitan dalam melaksanakan pembelajaran, sehingga kualitas kinerja dan hasil belajar siswa menurun.</t>
  </si>
  <si>
    <t>Kolaborasi dengan DUDI sangat kuat, strategis, dan berkelanjutan, serta terintegrasi dalam seluruh proses pembelajaran SMK. Terdapat sinkronisasi kurikulum, program teaching factory, guru tamu dari industri, serta keterlibatan aktif guru dalam kegiatan industri (magang, pelatihan, sertifikasi). Guru secara konsisten mengadopsi standar industri dalam pembelajaran dan mampu mentransfer praktik terbaik kepada siswa. Dampaknya, kinerja guru sangat tinggi, inovatif, dan pembelajaran sangat relevan dengan kebutuhan dunia kerja.</t>
  </si>
  <si>
    <t>Kolaborasi dengan DUDI berjalan dengan baik, ditandai dengan adanya program seperti PKL (Praktik Kerja Lapangan), kunjungan industri, atau kerja sama terbatas lainnya. Guru memperoleh manfaat dalam meningkatkan wawasan industri dan menerapkannya dalam pembelajaran, meskipun belum terintegrasi secara menyeluruh. Kinerja guru stabil dan relevansi pembelajaran cukup baik.</t>
  </si>
  <si>
    <t>Kolaborasi dengan DUDI masih terbatas dan tidak berkelanjutan. Program kerja sama hanya bersifat insidental dan belum memberikan dampak signifikan terhadap peningkatan kompetensi guru. Guru memiliki akses terbatas terhadap informasi dan praktik industri, sehingga pembelajaran kurang relevan dengan kebutuhan dunia kerja.</t>
  </si>
  <si>
    <t>Kolaborasi dengan DUDI tidak ada atau sangat minim. Tidak terdapat program kerja sama yang jelas antara sekolah dan industri. Guru tidak mendapatkan pengalaman atau referensi dari dunia kerja, sehingga pembelajaran cenderung tidak relevan dengan kebutuhan industri. Kinerja guru dalam konteks kejuruan menjadi rendah.</t>
  </si>
  <si>
    <t>Sistem penghargaan, kompensasi, dan jalur karir sangat jelas, adil, transparan, dan berbasis kinerja. Terdapat mekanisme yang terstruktur untuk memberikan insentif, penghargaan profesional, serta peluang pengembangan karir (promosi, sertifikasi, pengakuan kinerja). Guru merasa dihargai dan termotivasi tinggi untuk berprestasi, berinovasi, dan meningkatkan kualitas pembelajaran. Sistem ini secara nyata mendorong peningkatan kinerja guru secara berkelanjutan.</t>
  </si>
  <si>
    <t>Sistem penghargaan dan kompensasi tersedia dan berjalan cukup baik, dengan mekanisme yang relatif jelas dan dapat diterima oleh guru. Terdapat bentuk penghargaan dan peluang pengembangan karir, meskipun belum sepenuhnya berbasis kinerja atau belum optimal dalam implementasinya. Guru tetap termotivasi dan mampu mempertahankan kinerja yang baik.</t>
  </si>
  <si>
    <t>Sistem penghargaan dan kompensasi masih terbatas dan kurang konsisten. Mekanisme pemberian penghargaan belum sepenuhnya transparan atau belum berbasis kinerja. Jalur karir kurang jelas dan peluang pengembangan terbatas. Dampaknya, motivasi kerja guru berada pada tingkat sedang dan tidak mendorong peningkatan kinerja secara signifikan.</t>
  </si>
  <si>
    <t>Sistem penghargaan, kompensasi, dan jalur karir tidak jelas atau tidak berjalan. Tidak terdapat mekanisme yang adil dan transparan dalam pemberian penghargaan. Guru merasa kurang dihargai, sehingga motivasi kerja rendah dan berdampak pada rendahnya kinerja.</t>
  </si>
  <si>
    <t>Butir Kinerja 23: Kolaborasi dengan Dunia Usaha dan Industri (DUDI)</t>
  </si>
  <si>
    <t>Butir Kinerja 24: Sistem penghargaan/kompensasi dan jalur karier</t>
  </si>
  <si>
    <t>Butir Kinerja 22: Sarana dan Prasarana (fisik dan digital)</t>
  </si>
  <si>
    <t>Upload Dokumen
(jenis/nama dokumen)</t>
  </si>
  <si>
    <t>1. Sertifikat pelatihan, workshop, diklat.
2. Notulen MGMP, SK tim, laporan kegiatan.
3. Perangkat ajar, jurnal mengajar.
4. Modul ajar, bahan ajar, jobsheet.
5. Laporan inovasi, karya tulis, program.</t>
  </si>
  <si>
    <t xml:space="preserve">1. SK panitia, laporan kegiatan.
2. Jurnal mengajar, laporan kerja.
3. Piagam, sertifikat.
4. Program inovasi, modul ajar.
5. Rekap kehadiran, laporan.
</t>
  </si>
  <si>
    <t>1. Modul ajar, RPP.
2. Laporan inovasi, media ajar.
3. Jurnal refleksi, laporan evaluasi.
4. Not
ulen MGMP, laporan kegiatan.
5. Dokumen perbaikan pembelajaran.</t>
  </si>
  <si>
    <t>1. Rekap absensi.
2. Laporan kinerja, jurnal mengajar.
3. Surat izin/cuti.
4. Laporan supervisi.
5. Dokumen program sekolah</t>
  </si>
  <si>
    <t>1. Dokumen perbaikan atas tindak lanjut hasil evaluasi/supervisi.
2. Laporan inovasi.
3. Jurnal mengajar.
4. Sertifikat pelatihan.
5. Laporan refleksi.</t>
  </si>
  <si>
    <t>1. Program supervisi.
2. Instrumen, laporan supervisi.
3. Rencana pelatihan, workshop.
4. SK, program kerja.
5. Laporan kegiatan.</t>
  </si>
  <si>
    <t>1. Program kerja sekolah.
2. Notulen rapat, MGMP.
3. Dokumen aturan sekolah.
4. Laporan kegiatan.
5. Foto/laporan kegiatan</t>
  </si>
  <si>
    <t>1. Buku inventaris.
2. Rencana kerja sekolah.
3. Logbook laboratorium/bengkel.
4. Dokumen sinkronisasi kurikulum.
5. Foto/laporan kondisi</t>
  </si>
  <si>
    <t>Kolaborasi dengan Dunia Usaha dan Industri (DUDI)</t>
  </si>
  <si>
    <t>1. MoU/MoA.
2. Program kerja.
3. Dokumen kurikulum.
4. Sertifikat pelatihan.
5. Laporan kegiatan.</t>
  </si>
  <si>
    <t>1. SK, pedoman sekolah.
2. Daftar penerima penghargaan.
3. Dokumen keuangan.
4. Program pelatihan/promosi.
5. Laporan kegiatan.</t>
  </si>
  <si>
    <t>Kebutuhan Nomor Butir Kinerja</t>
  </si>
  <si>
    <t>RPP/Modul/Perangkat Ajar</t>
  </si>
  <si>
    <t>Butir 1
Butir 2
dst</t>
  </si>
  <si>
    <t>Nama/Jenis Dokumen yang diupload</t>
  </si>
  <si>
    <t>SINKRONISASI KURIKULUM DENGAN KEBUTUHAN DAN STANDAR INDUSTRI</t>
  </si>
  <si>
    <t>PEMAHAMAN BUDAYA KERJA INDUSTRI</t>
  </si>
  <si>
    <t>Guru menyusun perencanaan pembelajaran yang belum memfasilitasi peserta didik belajar aktif, kreatif, dan inovatif, serta belum memanfaatkan lingkungan dan TIK secara optimal dalam mendukung pembelajaran.</t>
  </si>
  <si>
    <t>Guru mampu: (1) menyusun perencanaan pembelajaran yang memfasilitasi peserta didik belajar aktif dan kreatif, namun penerapan metode, pemanfaatan lingkungan, dan penggunaan TIK masih terbatas; dan (2) menjelaskan tahapan penyusunan perencanaan pembelajaran, tetapi belum sistematis dan belum berdasarkan hasil refleksi pembelajaran.</t>
  </si>
  <si>
    <t>Guru mampu: (1) menyusun perencanaan pembelajaran yang memfasilitasi peserta didik belajar aktif, kreatif, inovatif, dan menyenangkan melalui metode pembelajaran yang bervariasi; (2) memanfaatkan lingkungan sekitar sebagai sumber belajar; (3) menggunakan TIK untuk mendukung pembelajaran; dan (4) menjelaskan tahapan penyusunan perencanaan pembelajaran sesuai ketentuan yang berlaku.</t>
  </si>
  <si>
    <t>Guru mampu: (1) menyusun perencanaan pembelajaran yang memfasilitasi seluruh peserta didik belajar secara aktif, kreatif, inovatif, efektif, dan menyenangkan melalui kegiatan seperti proyek berbasis masalah, penelitian sederhana, pembelajaran berbasis produk, teaching factory, atau pembelajaran kontekstual yang relevan dengan kompetensi keahlian SMK; (2) mengoptimalkan pemanfaatan lingkungan sekolah, dunia kerja, dan lingkungan sekitar sebagai sumber belajar; (3) memanfaatkan TIK secara efektif melalui LMS, media digital, simulasi, video pembelajaran, atau aplikasi pembelajaran lainnya; dan (4) menjelaskan tahapan penyusunan perencanaan pembelajaran secara sistematis berdasarkan hasil refleksi dan evaluasi pembelajaran sebelumnya.</t>
  </si>
  <si>
    <t>Guru belum melakukan evaluasi dan refleksi diri secara konsisten atau masih memerlukan bantuan dalam melaksanakan evaluasi dan refleksi diri untuk perbaikan kinerja.</t>
  </si>
  <si>
    <t>Guru melakukan evaluasi dan refleksi diri untuk perbaikan kinerja melalui catatan mengajar atau evaluasi sederhana, namun belum dilakukan secara sistematis dan belum dimanfaatkan secara optimal untuk pengembangan kompetensi.</t>
  </si>
  <si>
    <t>Guru melakukan evaluasi dan refleksi diri secara berkala melalui jurnal reflektif, catatan harian mengajar, atau hasil supervisi untuk memperbaiki pembelajaran dan mengembangkan kompetensi secara berkelanjutan. Hasil refleksi telah dimanfaatkan untuk meningkatkan kualitas pembelajaran.</t>
  </si>
  <si>
    <t>Guru melakukan evaluasi dan refleksi diri secara sistematis melalui berbagai kegiatan seperti observasi pembelajaran, penilaian dari siswa, teman sejawat, supervisi kepala sekolah, rekaman audio/video, jurnal refleksi, dan analisis hasil belajar siswa. Hasil evaluasi dan refleksi didiskusikan, didiseminasikan, dan dimanfaatkan untuk pengembangan kompetensi serta perbaikan kinerja secara berkelanjutan yang terlihat pada peningkatan mutu pembelajaran dan capaian hasil belajar peserta didik.</t>
  </si>
  <si>
    <t>Guru melakukan pengembangan profesi dalam bentuk kegiatan yang masih terbatas dan lebih bersifat memenuhi kewajiban atau arahan sekolah. Hasil pengembangan profesi belum berdampak nyata terhadap peningkatan mutu pembelajaran dan belum dibagikan kepada orang lain.</t>
  </si>
  <si>
    <t>Guru melakukan pengembangan profesi berkelanjutan atas anjuran atau himbauan sekolah melalui kegiatan seperti diskusi, seminar, pelatihan, belajar daring, atau kegiatan profesi lainnya yang memberikan dampak terbatas terhadap peningkatan mutu pembelajaran dan hasil belajar siswa.</t>
  </si>
  <si>
    <t>Guru melakukan pengembangan profesi berkelanjutan atas inisiatif sendiri melalui berbagai kegiatan seperti KKG/MGMP, seminar, pelatihan, belajar daring, publikasi ilmiah, atau karya inovatif yang berdampak terhadap peningkatan mutu pembelajaran dan hasil belajar siswa. Guru juga membagikan praktik baik kepada teman sejawat di lingkungan sekolah/madrasah.</t>
  </si>
  <si>
    <t>Guru melakukan pengembangan profesi berkelanjutan atas inisiatif sendiri secara aktif dan konsisten melalui berbagai kegiatan seperti diskusi teman sejawat, KKG/MGMP, pelatihan, seminar, belajar daring, publikasi ilmiah, dan karya inovatif. Hasil pengembangan profesi berdampak nyata terhadap peningkatan mutu pembelajaran dan capaian belajar siswa, serta didiseminasikan kepada guru lain di dalam maupun di luar sekolah melalui presentasi, pelatihan, publikasi, atau media digital.</t>
  </si>
  <si>
    <t>Butir Kinerja 2: Guru  menunjukkan upaya pengembangan profesional melalui kegiatan evaluasi diri, refleksi pembelajaran, dan peningkatan kompetensi yang dilakukan secara periodik untuk mendukung perbaikan kinerja. kompetensi untuk perbaikan kinerja secara berkala.</t>
  </si>
  <si>
    <t>Butir Kinerja 1. Guru mengembangkan perencanaan pembelajaran yang berorientasi pada keaktifan, kreativitas, dan inovasi peserta didik melalui pengoptimalan sumber lingkungan dan integrasi teknologi informasi dan komunikasi sesuai dengan karakteristik konteks pembelajaran.</t>
  </si>
  <si>
    <t>Butir Kinerja 4: Guru menunjukkan kemampuan dalam mengembangkan pendekatan pembelajaran melalui pemilihan strategi, model, metode, teknik, dan media yang variatif, kreatif, serta inovatif untuk meningkatkan efektivitas pembelajaran.</t>
  </si>
  <si>
    <t>Guru mengembangkan dan/atau memodifikasi strategi, model, metode, teknik, dan media pembelajaran yang belum mampu mendorong keterlibatan aktif peserta didik dan belum mendukung tercapainya tujuan pembelajaran secara efektif.</t>
  </si>
  <si>
    <t>Guru mampu mengembangkan dan/atau memodifikasi strategi, model, metode, teknik, dan media pembelajaran yang mendorong peserta didik belajar aktif dan menyenangkan, namun belum sepenuhnya relevan dengan tujuan pembelajaran atau belum dilakukan secara konsisten.</t>
  </si>
  <si>
    <t>Guru mampu mengembangkan dan/atau memodifikasi strategi, model, metode, teknik, dan media pembelajaran kreatif dan inovatif yang mendorong peserta didik belajar aktif, efektif, dan menyenangkan sesuai dengan tujuan pembelajaran. Guru telah memanfaatkan media dan teknologi pembelajaran secara baik dalam proses pembelajaran.</t>
  </si>
  <si>
    <t>Guru mampu mengembangkan dan/atau memodifikasi strategi, model, metode, teknik, dan media pembelajaran yang kreatif dan inovatif sehingga mendorong peserta didik belajar secara aktif, efektif, menyenangkan, dan sesuai dengan tujuan pembelajaran. Inovasi pembelajaran yang dikembangkan memanfaatkan teknologi informasi, lingkungan, dan sumber belajar yang relevan serta telah menginspirasi teman sejawat dan/atau didiseminasikan sehingga dapat direplikasi oleh guru lain.</t>
  </si>
  <si>
    <t>Butir Kinerja 5: Guru melaksanakan pengembangan kompetensi profesional melalui keikutsertaan dalam pelatihan asesor kompetensi dan/atau kegiatan pemagangan di dunia kerja.</t>
  </si>
  <si>
    <t>Guru SMK belum mengikuti pelatihan asesor kompetensi maupun magang di dunia kerja sehingga pembelajaran belum terintegrasi dengan budaya dan standar kerja industri.</t>
  </si>
  <si>
    <t>Guru SMK telah mengikuti pelatihan asesor kompetensi atau magang di dunia kerja, namun hasil pelatihan atau pengalaman magang belum diterapkan secara optimal dalam proses pembelajaran.</t>
  </si>
  <si>
    <t>Guru SMK mengikuti pelatihan asesor kompetensi dan/atau magang di dunia kerja serta menerapkan hasilnya dalam pembelajaran di kelas maupun praktik melalui penggunaan prosedur kerja, media praktik, dan penilaian yang relevan dengan dunia kerja.</t>
  </si>
  <si>
    <t>Guru SMK mengikuti pelatihan asesor kompetensi dan/atau magang di dunia kerja serta mampu menerapkan hasilnya secara optimal dalam pembelajaran teori dan praktik sesuai budaya dan iklim kerja industri yang produktif. Guru menerapkan standar industri, job sheet, SOP kerja, asesmen berbasis uji kompetensi, serta pembelajaran berbasis teaching factory sehingga meningkatkan kesiapan kerja dan kompetensi peserta didik.</t>
  </si>
  <si>
    <t>Dalam proses pembelajaran, guru lebih dominan menjelaskan materi, sedangkan peserta didik lebih banyak mendengarkan, mencatat, dan mengerjakan tugas tanpa keterlibatan aktif yang bermakna.</t>
  </si>
  <si>
    <t>Dalam proses pembelajaran, guru memberi kesempatan kepada peserta didik untuk belajar secara aktif melalui kegiatan membaca, bertanya, berdiskusi, praktik, atau menggunakan media, namun pengembangan keterampilan berpikir tingkat tinggi dan keterkaitan materi dengan kehidupan nyata belum optimal.</t>
  </si>
  <si>
    <t>Dalam proses pembelajaran, guru memberi kesempatan kepada peserta didik untuk belajar secara aktif melalui membaca, bertanya, berdiskusi, praktik, atau menggunakan media pembelajaran. Pembelajaran dilaksanakan melalui pengalaman konkret dan materi yang dipelajari dikaitkan dengan kehidupan peserta didik sehingga pembelajaran menjadi lebih bermakna.</t>
  </si>
  <si>
    <t>Dalam proses pembelajaran, guru mampu melibatkan seluruh peserta didik secara aktif melalui kegiatan membaca, bertanya, berdiskusi, praktik, presentasi, penggunaan media, dan pemecahan masalah. Guru mengembangkan keterampilan berpikir tingkat tinggi (HOTS) melalui kegiatan menganalisis, mengevaluasi, mencipta, dan menyelesaikan masalah kontekstual. Pembelajaran dilaksanakan melalui pengalaman konkret, bermakna bagi kehidupan peserta didik, serta berdampak pada kemampuan peserta didik dalam memecahkan masalah kehidupan sehari-hari.</t>
  </si>
  <si>
    <t>Butir Kinerja 8: Adanya kesesuaian kurikulum sekolah dengan kebutuhan dan standar kerja industri</t>
  </si>
  <si>
    <t>Butir Kinerja 9: Penilaian pembelajaran, baik pada proses maupun hasil belajar, dimanfaatkan untuk meningkatkan kualitas pembelajaran melalui pelaksanaan yang terencana dan sistematis.</t>
  </si>
  <si>
    <t>Guru melaksanakan penilaian proses dan hasil belajar tanpa memperhatikan keterkaitan dengan tujuan pembelajaran serta belum menggunakan prosedur penilaian yang sistemis dan berkelanjutan.</t>
  </si>
  <si>
    <t>Guru melaksanakan penilaian proses dan hasil belajar sesuai tujuan pembelajaran, namun teknik penilaian masih terbatas dan hasil penilaian belum dimanfaatkan secara optimal untuk perbaikan pembelajaran.</t>
  </si>
  <si>
    <t>Guru melaksanakan penilaian proses dan hasil belajar secara berkesinambungan dengan menggunakan berbagai teknik penilaian untuk mengetahui ketercapaian tujuan pembelajaran pada aspek sikap, pengetahuan, dan keterampilan.</t>
  </si>
  <si>
    <t>Guru melaksanakan penilaian proses dan hasil belajar secara sistemis, terencana, dan berkesinambungan dengan menggunakan berbagai teknik penilaian untuk mengukur aspek sikap, pengetahuan, dan keterampilan. Hasil penilaian dianalisis dan dimanfaatkan sebagai dasar perbaikan proses pembelajaran, tindak lanjut pembelajaran, dan peningkatan hasil belajar peserta didik secara nyata.</t>
  </si>
  <si>
    <t>Butir Kinerja 10: Kegiatan perbaikan pembelajaran maupun pengayaan diberikan kepada peserta didik yang membutuhkan untuk mendukung pencapaian kompetensi belajar.</t>
  </si>
  <si>
    <t>Guru melaksanakan program remedial atau pengayaan secara terbatas hanya melalui pemberian tes ulang, tugas tambahan, atau pekerjaan rumah tanpa strategi pembelajaran yang sesuai kebutuhan peserta didik.</t>
  </si>
  <si>
    <t>Guru melaksanakan program remedial atau pengayaan secara sistematis dan terstruktur, namun pelaksanaannya masih terbatas pada beberapa kompetensi atau mata pelajaran serta dampaknya terhadap peningkatan hasil belajar belum optimal.</t>
  </si>
  <si>
    <t>Guru melaksanakan program remedial dan/atau pengayaan secara sistematis dan terstruktur dengan menggunakan berbagai strategi sesuai kebutuhan peserta didik dan berdampak terhadap peningkatan hasil belajar peserta didik.</t>
  </si>
  <si>
    <t>Guru melaksanakan program remedial dan/atau pengayaan secara sistematis, terstruktur, dan berkelanjutan berdasarkan hasil analisis capaian kompetensi peserta didik. Program dilaksanakan dengan berbagai strategi sesuai kebutuhan peserta didik serta terbukti meningkatkan kompetensi pengetahuan dan keterampilan peserta didik secara signifikan.</t>
  </si>
  <si>
    <t>Butir Kinerja 11: Kegiatan belajar berlangsung dengan keaktifan peserta didik yang tinggi disertai suasana kelas yang positif dan menyenangkan.</t>
  </si>
  <si>
    <t>Suasana kelas berlangsung tertib, tetapi pembelajaran masih didominasi guru dengan komunikasi satu arah sehingga partisipasi aktif peserta didik masih rendah.</t>
  </si>
  <si>
    <t>Suasana kelas berlangsung tertib dengan adanya interaksi timbal balik antara siswa dengan siswa maupun siswa dengan guru, namun keterlibatan aktif peserta didik dan suasana pembelajaran menyenangkan belum optimal.</t>
  </si>
  <si>
    <t>Suasana pembelajaran berlangsung dinamis dengan adanya interaksi antarsiswa dan antara siswa dengan guru. Peserta didik antusias mengikuti pembelajaran dan suasana kelas terlihat menarik serta menyenangkan.</t>
  </si>
  <si>
    <t>Suasana pembelajaran berlangsung dinamis, interaktif, dan menyenangkan dengan keterlibatan aktif seluruh peserta didik melalui interaksi antarsiswa maupun antara siswa dengan guru. Peserta didik menunjukkan antusiasme tinggi, aktif berdiskusi, bertanya, berpendapat, dan bekerja sama sehingga pembelajaran berdampak pada tercapainya tujuan pembelajaran secara optimal.</t>
  </si>
  <si>
    <t>Butir Kinerja 12: Guru mengembangkan budaya literasi peserta didik melalui pembiasaan aktivitas membaca dan menulis secara berkelanjutan.10: Guru melakukan pembiasaan literasi membaca dan menulis.</t>
  </si>
  <si>
    <t>Guru belum melakukan pembiasaan membaca, menulis, berkomunikasi, berlatih, atau berkarya secara terprogram dan berkelanjutan.</t>
  </si>
  <si>
    <t>Guru melakukan pembiasaan literasi membaca dan menulis secara terprogram sehingga terbentuk budaya membaca dan menulis di luar kelas serta menghasilkan karya-karya literasi peserta didik seperti majalah dinding, cerpen, dan karya tulis lainnya.</t>
  </si>
  <si>
    <t>Guru melakukan pembiasaan literasi membaca dan menulis secara terprogram dan berkelanjutan sehingga terbentuk budaya literasi di dalam dan di luar kelas. Peserta didik menghasilkan berbagai karya literasi seperti majalah dinding, cerpen, artikel, atau karya tulis lainnya serta karya tersebut dipublikasikan di lingkungan sekolah maupun masyarakat.</t>
  </si>
  <si>
    <t>Butir Kinerja 13: Guru membangun kondisi pembelajaran yang kondusif melalui pemenuhan aspek keamanan, kenyamanan, kebersihan, serta dukungan terhadap kelancaran aktivitas belajar peserta didik.</t>
  </si>
  <si>
    <t>Guru melakukan pembiasaan membaca, menulis, berkomunikasi, berlatih, atau berkarya dalam pembelajaran, namun belum berdampak pada terbentuknya budaya literasi peserta didik di luar kelas.</t>
  </si>
  <si>
    <t>Guru belum menunjukkan upaya yang memadai dalam menciptakan suasana pembelajaran yang aman, nyaman, bersih, dan mudah diakses sehingga kondisi kelas kurang mendukung keterlibatan peserta didik dalam belajar.</t>
  </si>
  <si>
    <t>Guru mulai menerapkan pengelolaan pembelajaran yang memperhatikan aspek keamanan, kenyamanan, kebersihan, dan kemudahan belajar peserta didik, namun pelaksanaannya belum konsisten dan belum mendukung proses belajar secara optimal.</t>
  </si>
  <si>
    <t>Guru mampu menciptakan kondisi pembelajaran yang aman, nyaman, bersih, dan mendukung aktivitas belajar peserta didik baik secara fisik maupun emosional. Hubungan antara guru dan peserta didik serta antarpeserta didik terjalin dengan baik sehingga pembelajaran berlangsung kondusif dan tujuan pembelajaran dapat tercapai.</t>
  </si>
  <si>
    <t>Guru mampu membangun lingkungan belajar yang aman, nyaman, bersih, dan mudah diakses dengan melibatkan peserta didik dalam menjaga kondisi kelas secara fisik maupun psikologis. Interaksi antara guru dan peserta didik maupun antarpeserta didik berlangsung harmonis, penuh rasa saling menghargai dan menghormati sehingga proses pembelajaran berjalan efektif dan tujuan pembelajaran tercapai secara optimal.</t>
  </si>
  <si>
    <t>Butir Kinerja 14: Pemanfaatan sarana dan prasarana sekolah/madrasah dilakukan secara optimal guna menunjang kelancaran dan kualitas proses pembelajaran.</t>
  </si>
  <si>
    <t>Guru belum memanfaatkan fasilitas dan infrastruktur pembelajaran secara maksimal sebagai media maupun sumber belajar dalam kegiatan pembelajaran.</t>
  </si>
  <si>
    <t>Guru telah menggunakan beberapa fasilitas dan sarana pembelajaran sebagai media belajar, namun penggunaannya masih terbatas dari sisi jenis maupun intensitas pemanfaatannya sehingga pengaruhnya terhadap kualitas pembelajaran belum optimal.</t>
  </si>
  <si>
    <t>Guru memanfaatkan fasilitas dan infrastruktur yang tersedia di sekolah maupun di lingkungan luar sekolah sebagai media dan sumber belajar sehingga proses pembelajaran menjadi lebih efektif dan memberikan dampak positif terhadap hasil belajar siswa.</t>
  </si>
  <si>
    <t>Guru mampu mengoptimalkan berbagai fasilitas dan infrastruktur pembelajaran yang tersedia di lingkungan sekolah maupun di luar sekolah, termasuk media hasil inovasi guru dan siswa, sebagai sumber belajar yang relevan. Pemanfaatan tersebut terbukti meningkatkan kualitas proses pembelajaran serta mendorong peningkatan hasil belajar peserta didik secara signifikan.</t>
  </si>
  <si>
    <t>Butir Kinerja 15: Keberadaan unit produksi/business center/technopark/teaching factory dimamfaatkan oleh guru sebagai media pembelajaran kontekstual untuk meningkatkan kemampuan dalam mengelola pembelajaran berbasis industri.</t>
  </si>
  <si>
    <t>Guru belum memanfaatkan unit produksi/business center/technopark/ teaching factory secara efektif sebagai media pembelajaran berbasis industri.</t>
  </si>
  <si>
    <t>Guru telah menggunakan unit produksi/business center/technopark/ teaching factory sebagai media pembelajaran, namun pemanfaatannya masih terbatas dan belum terintegrasi secara optimal dalam proses pembelajaran berbasis industri.</t>
  </si>
  <si>
    <t>Guru memanfaatkan unit produksi/business center/technopark/teaching factory sebagai media pembelajaran berbasis industri dalam kegiatan pembelajaran sehingga siswa memperoleh pengalaman belajar yang relevan dengan dunia kerja.</t>
  </si>
  <si>
    <t>Guru secara optimal memanfaatkan unit produksi/business center/technopark/teaching factory sebagai media pembelajaran kontekstual berbasis industri dalam kegiatan teori dan praktik. Pembelajaran yang dilaksanakan mencerminkan budaya kerja industri, melibatkan siswa secara aktif dalam proses produksi/jasa, serta berdampak pada peningkatan kompetensi kerja, kemandirian, dan kesiapan kerja siswa.</t>
  </si>
  <si>
    <t>Butir Kinerja 16: Guru memanfaatkan kegiatan Praktik Kerja Lapangan (PKL) sebagai bagian dari pembelajaran berbasis dunia kerja untuk meningkatkan relevansi pembelajaran.</t>
  </si>
  <si>
    <t>Guru belum memanfaatkan kegiatan PKL sebagai bagian dari pembelajaran berbasis dunia kerja secara efektif.</t>
  </si>
  <si>
    <t>Guru telah memanfaatkan kegiatan PKL dalam pembelajaran, namun masih terbatas pada pelaksanaan administratif dan belum terintegrasi secara optimal dalam kegiatan pembelajaran di kelas maupun praktik.</t>
  </si>
  <si>
    <t>Guru memanfaatkan kegiatan PKL sebagai bagian dari pembelajaran berbasis dunia kerja dengan mengaitkan pengalaman kerja siswa ke dalam proses pembelajaran sehingga mendukung peningkatan kompetensi dan kesiapan kerja siswa.</t>
  </si>
  <si>
    <t>Guru secara optimal memanfaatkan kegiatan Praktik Kerja Lapangan (PKL) sebagai bagian terpadu dari pembelajaran berbasis dunia kerja melalui perencanaan, pelaksanaan, monitoring, evaluasi, dan tindak lanjut pembelajaran. Hasil PKL diintegrasikan ke dalam proses pembelajaran sehingga berdampak nyata terhadap peningkatan kompetensi, pengalaman kerja, karakter kerja, dan kesiapan kerja siswa.</t>
  </si>
  <si>
    <t>Butir Kinerja 5: Guru menerapkan budaya kerja industri dalam mendukung peningkatan mutu dan profesionalisme kerja</t>
  </si>
  <si>
    <t>Guru belum menerapkan budaya kerja industri secara nyata dalam proses pembelajaran maupun pelaksanaan tugas profesional.</t>
  </si>
  <si>
    <t>Guru telah menerapkan beberapa unsur budaya kerja industri dalam pembelajaran dan pelaksanaan tugas, namun belum dilakukan secara konsisten dan belum berdampak optimal terhadap peningkatan mutu kerja.</t>
  </si>
  <si>
    <t>Guru menerapkan budaya kerja industri dalam kegiatan pembelajaran dan pelaksanaan tugas profesional sehingga mendukung peningkatan mutu pembelajaran dan profesionalisme kerja.</t>
  </si>
  <si>
    <t>Guru secara konsisten menerapkan budaya kerja industri dalam seluruh proses pembelajaran dan aktivitas profesional, seperti disiplin, tanggung jawab, kerja sama, keselamatan kerja, orientasi mutu, efisiensi, dan pelayanan kerja. Penerapan tersebut menjadi teladan bagi siswa dan rekan sejawat serta berdampak nyata terhadap peningkatan mutu pembelajaran dan profesionalisme kerja di sekolah.</t>
  </si>
  <si>
    <t>Guru melaksanakan pembelajaran berdasarkan kurikulum sekolah tanpa mengaitkan secara jelas dengan kebutuhan dan standar dunia kerja/industri.</t>
  </si>
  <si>
    <t>Guru mulai menyesuaikan sebagian materi dan kegiatan pembelajaran dengan kebutuhan industri, namun penerapannya belum konsisten dan belum sepenuhnya mengacu pada standar kerja industri.</t>
  </si>
  <si>
    <t>Guru menerapkan kurikulum yang telah disesuaikan dengan kebutuhan dan standar kerja industri dalam proses pembelajaran sehingga materi, praktik, dan penilaian relevan dengan dunia kerja.</t>
  </si>
  <si>
    <t>Guru mengimplementasikan kurikulum yang telah diselaraskan secara komprehensif dengan kebutuhan Dunia Usaha dan Dunia Industri (DUDI), melibatkan mitra industri dalam penyusunan, pelaksanaan, evaluasi pembelajaran, serta menghasilkan pembelajaran berbasis standar kerja industri yang berdampak nyata terhadap kesiapan kerja dan kompetensi siswa.</t>
  </si>
  <si>
    <t>Nama Sekolah</t>
  </si>
  <si>
    <t>Guru menerapkan budaya kerja industri dalam mendukung peningkatan mutu dan profesionalisme kerja</t>
  </si>
  <si>
    <t>Guru mengembangkan perencanaan pembelajaran yang berorientasi pada keaktifan, kreativitas, dan inovasi peserta didik melalui pengoptimalan sumber lingkungan dan integrasi teknologi informasi dan komunikasi sesuai dengan karakteristik konteks pembelajaran.</t>
  </si>
  <si>
    <t>Guru  menunjukkan upaya pengembangan profesional melalui kegiatan evaluasi diri, refleksi pembelajaran, dan peningkatan kompetensi yang dilakukan secara periodik untuk mendukung perbaikan kinerja. kompetensi untuk perbaikan kinerja secara berkala.</t>
  </si>
  <si>
    <t>Butir Kinerja 3: Guru menunjukkan komitmen terhadap pengembangan profesi berkelanjutan melalui berbagai kegiatan yang mendukung peningkatan kapasitas pengetahuan, keterampilan, dan perluasan wawasan profesional.</t>
  </si>
  <si>
    <t>Guru menunjukkan komitmen terhadap pengembangan profesi berkelanjutan melalui berbagai kegiatan yang mendukung peningkatan kapasitas pengetahuan, keterampilan, dan perluasan wawasan profesional.</t>
  </si>
  <si>
    <t>Guru menunjukkan kemampuan dalam mengembangkan pendekatan pembelajaran melalui pemilihan strategi, model, metode, teknik, dan media yang variatif, kreatif, serta inovatif untuk meningkatkan efektivitas pembelajaran.</t>
  </si>
  <si>
    <t>Guru melaksanakan pengembangan kompetensi profesional melalui keikutsertaan dalam pelatihan asesor kompetensi dan/atau kegiatan pemagangan di dunia kerja.</t>
  </si>
  <si>
    <t>Butir Kinerja 7: Kegiatan Pembelajaran berlangsung secara aktif melalui keterlibatan seluruh peserta didik dan berorientasi pada penguatan keterampilan berpikir tingkat tinggi guna mendukung terciptanya proses belajar yang efektif sesuai target pembelajaran di satuan pendidikan.</t>
  </si>
  <si>
    <t>Kegiatan Pembelajaran berlangsung secara aktif melalui keterlibatan seluruh peserta didik dan berorientasi pada penguatan keterampilan berpikir tingkat tinggi guna mendukung terciptanya proses belajar yang efektif sesuai target pembelajaran di satuan pendidikan.</t>
  </si>
  <si>
    <t>Adanya kesesuaian kurikulum sekolah dengan kebutuhan dan standar kerja industri</t>
  </si>
  <si>
    <t>Penilaian pembelajaran, baik pada proses maupun hasil belajar, dimanfaatkan untuk meningkatkan kualitas pembelajaran melalui pelaksanaan yang terencana dan sistematis.</t>
  </si>
  <si>
    <t>Kegiatan perbaikan pembelajaran maupun pengayaan diberikan kepada peserta didik yang membutuhkan untuk mendukung pencapaian kompetensi belajar.</t>
  </si>
  <si>
    <t>Kegiatan belajar berlangsung dengan keaktifan peserta didik yang tinggi disertai suasana kelas yang positif dan menyenangkan.</t>
  </si>
  <si>
    <t>Guru mengembangkan budaya literasi peserta didik melalui pembiasaan aktivitas membaca dan menulis secara berkelanjutan.10: Guru melakukan pembiasaan literasi membaca dan menulis.</t>
  </si>
  <si>
    <t>Guru membangun kondisi pembelajaran yang kondusif melalui pemenuhan aspek keamanan, kenyamanan, kebersihan, serta dukungan terhadap kelancaran aktivitas belajar peserta didik.</t>
  </si>
  <si>
    <t>Pemanfaatan sarana dan prasarana sekolah/madrasah dilakukan secara optimal guna menunjang kelancaran dan kualitas proses pembelajaran.</t>
  </si>
  <si>
    <t>Keberadaan unit produksi/business center/technopark/teaching factory dimamfaatkan oleh guru sebagai media pembelajaran kontekstual untuk meningkatkan kemampuan dalam mengelola pembelajaran berbasis industri.</t>
  </si>
  <si>
    <t>Guru memanfaatkan kegiatan Praktik Kerja Lapangan (PKL) sebagai bagian dari pembelajaran berbasis dunia kerja untuk meningkatkan relevansi pembelajaran.</t>
  </si>
  <si>
    <t>Kepala Kompetensi
Keahlian/ Pengurus</t>
  </si>
  <si>
    <t>Lihat Instumen file word</t>
  </si>
  <si>
    <t>Budaya Kerja Industri</t>
  </si>
  <si>
    <t>Pemahaman Budaya Kerja Industri</t>
  </si>
  <si>
    <t>hasil asesmen siswa</t>
  </si>
  <si>
    <t>Catatan evaluator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</si>
</sst>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20"/>
      <color theme="0"/>
      <name val="Calibri"/>
      <family val="2"/>
      <scheme val="minor"/>
    </font>
    <font>
      <sz val="16"/>
      <color theme="1"/>
      <name val="Calibri"/>
      <family val="2"/>
      <scheme val="minor"/>
    </font>
    <font>
      <b/>
      <sz val="16"/>
      <color theme="1"/>
      <name val="Calibri"/>
      <family val="2"/>
      <scheme val="minor"/>
    </font>
    <font>
      <sz val="12"/>
      <color theme="1"/>
      <name val="Bahnschrift Light SemiCondensed"/>
      <family val="2"/>
    </font>
    <font>
      <sz val="12"/>
      <color rgb="FF7030A0"/>
      <name val="Bahnschrift Light SemiCondensed"/>
      <family val="2"/>
    </font>
    <font>
      <b/>
      <sz val="12"/>
      <color theme="1"/>
      <name val="Bahnschrift Light SemiCondensed"/>
      <family val="2"/>
    </font>
    <font>
      <sz val="11"/>
      <name val="Calibri"/>
      <family val="2"/>
      <scheme val="minor"/>
    </font>
    <font>
      <b/>
      <sz val="11"/>
      <color theme="1"/>
      <name val="Calibri"/>
      <family val="2"/>
      <scheme val="minor"/>
    </font>
    <font>
      <sz val="11"/>
      <color theme="1"/>
      <name val="Bahnschrift Light SemiCondensed"/>
      <family val="2"/>
    </font>
    <font>
      <b/>
      <sz val="11"/>
      <color rgb="FFFF0000"/>
      <name val="Calibri"/>
      <family val="2"/>
      <scheme val="minor"/>
    </font>
    <font>
      <b/>
      <sz val="12"/>
      <name val="Bahnschrift Light SemiCondensed"/>
      <family val="2"/>
    </font>
    <font>
      <sz val="11"/>
      <color rgb="FFFF0000"/>
      <name val="Calibri"/>
      <family val="2"/>
      <scheme val="minor"/>
    </font>
    <font>
      <b/>
      <sz val="11"/>
      <color theme="1"/>
      <name val="Bahnschrift Light SemiCondensed"/>
      <family val="2"/>
    </font>
    <font>
      <sz val="12"/>
      <name val="Bahnschrift Light SemiCondensed"/>
      <family val="2"/>
    </font>
    <font>
      <sz val="11"/>
      <name val="Bahnschrift Light SemiCondensed"/>
      <family val="2"/>
    </font>
    <font>
      <i/>
      <sz val="11"/>
      <color theme="1"/>
      <name val="Bahnschrift Light SemiCondensed"/>
      <family val="2"/>
    </font>
    <font>
      <i/>
      <sz val="12"/>
      <color theme="1"/>
      <name val="Bahnschrift Light SemiCondensed"/>
      <family val="2"/>
    </font>
    <font>
      <i/>
      <sz val="12"/>
      <name val="Arial Narrow"/>
      <family val="2"/>
    </font>
  </fonts>
  <fills count="18">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2"/>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63">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3" borderId="2" xfId="0" applyFont="1" applyFill="1" applyBorder="1" applyAlignment="1">
      <alignment vertical="center"/>
    </xf>
    <xf numFmtId="0" fontId="0" fillId="0" borderId="3" xfId="0" applyBorder="1"/>
    <xf numFmtId="0" fontId="0" fillId="0" borderId="4" xfId="0" applyBorder="1"/>
    <xf numFmtId="0" fontId="0" fillId="0" borderId="5" xfId="0" applyBorder="1"/>
    <xf numFmtId="0" fontId="2" fillId="0" borderId="4" xfId="0" applyFont="1" applyBorder="1" applyAlignment="1">
      <alignment vertical="top" wrapText="1"/>
    </xf>
    <xf numFmtId="0" fontId="2" fillId="0" borderId="0" xfId="0" applyFont="1" applyAlignment="1">
      <alignment vertical="top"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4" fillId="0" borderId="0" xfId="0" applyFont="1" applyAlignment="1">
      <alignment horizontal="left" vertical="top" wrapText="1"/>
    </xf>
    <xf numFmtId="0" fontId="4" fillId="0" borderId="0" xfId="0" applyFont="1"/>
    <xf numFmtId="0" fontId="6" fillId="0" borderId="0" xfId="0" applyFont="1"/>
    <xf numFmtId="0" fontId="5" fillId="7" borderId="9" xfId="0" applyFont="1" applyFill="1" applyBorder="1" applyAlignment="1">
      <alignment horizontal="center" vertical="center"/>
    </xf>
    <xf numFmtId="0" fontId="4" fillId="0" borderId="9" xfId="0" applyFont="1" applyBorder="1"/>
    <xf numFmtId="0" fontId="6" fillId="0" borderId="9" xfId="0" applyFont="1" applyBorder="1" applyAlignment="1">
      <alignment horizontal="center" vertical="center"/>
    </xf>
    <xf numFmtId="0" fontId="4" fillId="0" borderId="9" xfId="0" applyFont="1" applyBorder="1" applyAlignment="1">
      <alignment horizontal="center" vertical="center"/>
    </xf>
    <xf numFmtId="0" fontId="4" fillId="10" borderId="9" xfId="0" applyFont="1" applyFill="1" applyBorder="1" applyAlignment="1">
      <alignment horizontal="center" vertical="center"/>
    </xf>
    <xf numFmtId="0" fontId="4" fillId="8" borderId="9" xfId="0" applyFont="1" applyFill="1" applyBorder="1"/>
    <xf numFmtId="0" fontId="4" fillId="7" borderId="9" xfId="0" applyFont="1" applyFill="1" applyBorder="1" applyAlignment="1">
      <alignment horizontal="center" vertical="center"/>
    </xf>
    <xf numFmtId="0" fontId="4" fillId="9" borderId="9" xfId="0" applyFont="1" applyFill="1" applyBorder="1" applyAlignment="1">
      <alignment horizontal="center" vertical="center"/>
    </xf>
    <xf numFmtId="0" fontId="7" fillId="0" borderId="0" xfId="0" applyFont="1"/>
    <xf numFmtId="0" fontId="0" fillId="0" borderId="9" xfId="0" applyBorder="1" applyAlignment="1">
      <alignment horizontal="center" vertical="center"/>
    </xf>
    <xf numFmtId="0" fontId="0" fillId="0" borderId="0" xfId="0" applyAlignment="1">
      <alignment horizontal="center" vertical="center"/>
    </xf>
    <xf numFmtId="0" fontId="9" fillId="8" borderId="9" xfId="0" applyFont="1" applyFill="1" applyBorder="1" applyAlignment="1">
      <alignment wrapText="1"/>
    </xf>
    <xf numFmtId="0" fontId="9" fillId="8" borderId="9" xfId="0" applyFont="1" applyFill="1" applyBorder="1" applyAlignment="1">
      <alignment horizontal="center" vertical="center"/>
    </xf>
    <xf numFmtId="0" fontId="9" fillId="8" borderId="9" xfId="0" applyFont="1" applyFill="1" applyBorder="1" applyAlignment="1">
      <alignment horizontal="center" vertical="center" wrapText="1"/>
    </xf>
    <xf numFmtId="0" fontId="8" fillId="0" borderId="9" xfId="0" applyFont="1" applyBorder="1" applyAlignment="1">
      <alignment horizontal="center" vertical="center"/>
    </xf>
    <xf numFmtId="0" fontId="8" fillId="0" borderId="9" xfId="0" applyFont="1" applyBorder="1" applyAlignment="1">
      <alignment horizontal="center" vertical="center" wrapText="1"/>
    </xf>
    <xf numFmtId="0" fontId="0" fillId="12" borderId="9" xfId="0" applyFill="1" applyBorder="1" applyAlignment="1">
      <alignment horizontal="center" vertical="center"/>
    </xf>
    <xf numFmtId="0" fontId="0" fillId="5" borderId="9" xfId="0" applyFill="1" applyBorder="1" applyAlignment="1">
      <alignment horizontal="center" vertical="center"/>
    </xf>
    <xf numFmtId="0" fontId="0" fillId="13" borderId="9" xfId="0" applyFill="1" applyBorder="1" applyAlignment="1">
      <alignment horizontal="center" vertical="center"/>
    </xf>
    <xf numFmtId="0" fontId="0" fillId="14" borderId="9" xfId="0" applyFill="1" applyBorder="1" applyAlignment="1">
      <alignment horizontal="center" vertical="center"/>
    </xf>
    <xf numFmtId="0" fontId="0" fillId="10" borderId="9" xfId="0" applyFill="1" applyBorder="1" applyAlignment="1">
      <alignment horizontal="center" vertical="center"/>
    </xf>
    <xf numFmtId="0" fontId="9" fillId="10" borderId="9" xfId="0" applyFont="1" applyFill="1" applyBorder="1" applyAlignment="1">
      <alignment horizontal="center" vertical="center"/>
    </xf>
    <xf numFmtId="0" fontId="9" fillId="10" borderId="9" xfId="0" applyFont="1" applyFill="1" applyBorder="1" applyAlignment="1">
      <alignment vertical="center" wrapText="1"/>
    </xf>
    <xf numFmtId="0" fontId="9" fillId="10" borderId="9" xfId="0" applyFont="1" applyFill="1" applyBorder="1" applyAlignment="1">
      <alignment horizontal="center" vertical="center" wrapText="1"/>
    </xf>
    <xf numFmtId="0" fontId="9" fillId="10" borderId="9" xfId="0" applyFont="1" applyFill="1" applyBorder="1" applyAlignment="1">
      <alignment wrapText="1"/>
    </xf>
    <xf numFmtId="0" fontId="0" fillId="10" borderId="9" xfId="0" applyFill="1" applyBorder="1" applyAlignment="1">
      <alignment horizontal="center" vertical="center" wrapText="1"/>
    </xf>
    <xf numFmtId="0" fontId="9" fillId="7" borderId="9" xfId="0" applyFont="1" applyFill="1" applyBorder="1" applyAlignment="1">
      <alignment horizontal="center" vertical="center"/>
    </xf>
    <xf numFmtId="0" fontId="9" fillId="7" borderId="9" xfId="0" applyFont="1" applyFill="1" applyBorder="1" applyAlignment="1">
      <alignment wrapText="1"/>
    </xf>
    <xf numFmtId="0" fontId="9" fillId="7" borderId="9" xfId="0" applyFont="1" applyFill="1" applyBorder="1" applyAlignment="1">
      <alignment horizontal="center" vertical="center" wrapText="1"/>
    </xf>
    <xf numFmtId="0" fontId="0" fillId="7" borderId="9" xfId="0" applyFill="1" applyBorder="1" applyAlignment="1">
      <alignment horizontal="center" vertical="center" wrapText="1"/>
    </xf>
    <xf numFmtId="0" fontId="9" fillId="9"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0" fillId="9" borderId="9" xfId="0" applyFill="1" applyBorder="1" applyAlignment="1">
      <alignment horizontal="center" vertical="center" wrapText="1"/>
    </xf>
    <xf numFmtId="0" fontId="4" fillId="10" borderId="9" xfId="0" applyFont="1" applyFill="1" applyBorder="1"/>
    <xf numFmtId="0" fontId="4" fillId="7" borderId="9" xfId="0" applyFont="1" applyFill="1" applyBorder="1"/>
    <xf numFmtId="0" fontId="4" fillId="8" borderId="9" xfId="0" applyFont="1" applyFill="1" applyBorder="1" applyAlignment="1">
      <alignment horizontal="center" vertical="center"/>
    </xf>
    <xf numFmtId="0" fontId="11" fillId="0" borderId="9" xfId="0" applyFont="1" applyBorder="1" applyAlignment="1">
      <alignment horizontal="center" vertical="center"/>
    </xf>
    <xf numFmtId="0" fontId="6" fillId="16" borderId="9" xfId="0" applyFont="1" applyFill="1" applyBorder="1" applyAlignment="1">
      <alignment horizontal="center" vertical="center"/>
    </xf>
    <xf numFmtId="0" fontId="6" fillId="16" borderId="9" xfId="0" applyFont="1" applyFill="1" applyBorder="1" applyAlignment="1">
      <alignment horizontal="center" vertical="center" wrapText="1"/>
    </xf>
    <xf numFmtId="0" fontId="4" fillId="11" borderId="9" xfId="0" applyFont="1" applyFill="1" applyBorder="1" applyAlignment="1">
      <alignment horizontal="center" vertical="center"/>
    </xf>
    <xf numFmtId="0" fontId="0" fillId="17" borderId="15"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16" xfId="0" applyFill="1" applyBorder="1" applyAlignment="1">
      <alignment horizontal="center" vertical="center" wrapText="1"/>
    </xf>
    <xf numFmtId="0" fontId="4" fillId="9" borderId="9" xfId="0" applyFont="1" applyFill="1" applyBorder="1"/>
    <xf numFmtId="0" fontId="4" fillId="0" borderId="9" xfId="0" applyFont="1" applyBorder="1" applyAlignment="1">
      <alignment vertical="top" wrapText="1"/>
    </xf>
    <xf numFmtId="0" fontId="4" fillId="0" borderId="9" xfId="0" applyFont="1" applyBorder="1" applyAlignment="1">
      <alignment horizontal="justify" vertical="top" wrapText="1"/>
    </xf>
    <xf numFmtId="0" fontId="4" fillId="0" borderId="9" xfId="0" applyFont="1" applyBorder="1" applyAlignment="1">
      <alignment horizontal="left" vertical="top" wrapText="1"/>
    </xf>
    <xf numFmtId="0" fontId="4" fillId="4" borderId="0" xfId="0" applyFont="1" applyFill="1" applyAlignment="1">
      <alignment horizontal="center" vertical="center" wrapText="1"/>
    </xf>
    <xf numFmtId="0" fontId="4" fillId="4" borderId="10"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6" fillId="6" borderId="9" xfId="0" applyFont="1" applyFill="1" applyBorder="1" applyAlignment="1">
      <alignment horizontal="center" vertical="center"/>
    </xf>
    <xf numFmtId="0" fontId="4" fillId="0" borderId="9" xfId="0" applyFont="1" applyBorder="1" applyAlignment="1">
      <alignment vertical="center"/>
    </xf>
    <xf numFmtId="0" fontId="4" fillId="0" borderId="0" xfId="0" applyFont="1" applyAlignment="1">
      <alignment vertical="top" wrapText="1"/>
    </xf>
    <xf numFmtId="0" fontId="6" fillId="0" borderId="9" xfId="0" applyFont="1" applyBorder="1" applyAlignment="1">
      <alignment horizontal="center"/>
    </xf>
    <xf numFmtId="0" fontId="8" fillId="0" borderId="9" xfId="0" applyFont="1" applyBorder="1" applyAlignment="1">
      <alignment vertical="center"/>
    </xf>
    <xf numFmtId="0" fontId="12" fillId="0" borderId="0" xfId="0" applyFont="1"/>
    <xf numFmtId="0" fontId="9" fillId="4" borderId="10"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0" borderId="9" xfId="0" applyFont="1" applyBorder="1" applyAlignment="1">
      <alignment horizontal="left" vertical="top" wrapText="1"/>
    </xf>
    <xf numFmtId="0" fontId="9" fillId="0" borderId="9" xfId="0" applyFont="1" applyBorder="1"/>
    <xf numFmtId="0" fontId="9" fillId="0" borderId="9" xfId="0" applyFont="1" applyBorder="1" applyAlignment="1">
      <alignment vertical="top" wrapText="1"/>
    </xf>
    <xf numFmtId="0" fontId="13" fillId="6" borderId="9" xfId="0" applyFont="1" applyFill="1" applyBorder="1" applyAlignment="1">
      <alignment horizontal="center" vertical="center"/>
    </xf>
    <xf numFmtId="0" fontId="13" fillId="0" borderId="9" xfId="0" applyFont="1" applyBorder="1" applyAlignment="1">
      <alignment horizontal="center" vertical="center"/>
    </xf>
    <xf numFmtId="0" fontId="14" fillId="0" borderId="9" xfId="0" applyFont="1" applyBorder="1" applyAlignment="1">
      <alignment vertical="top" wrapText="1"/>
    </xf>
    <xf numFmtId="0" fontId="14" fillId="0" borderId="9" xfId="0" applyFont="1" applyBorder="1" applyAlignment="1">
      <alignment horizontal="left" vertical="top" wrapText="1"/>
    </xf>
    <xf numFmtId="0" fontId="14" fillId="0" borderId="9" xfId="0" applyFont="1" applyBorder="1" applyAlignment="1">
      <alignment horizontal="center" vertical="center"/>
    </xf>
    <xf numFmtId="0" fontId="14" fillId="0" borderId="9" xfId="0" applyFont="1" applyBorder="1"/>
    <xf numFmtId="0" fontId="9" fillId="9" borderId="9" xfId="0" applyFont="1" applyFill="1" applyBorder="1" applyAlignment="1">
      <alignment vertical="top" wrapText="1"/>
    </xf>
    <xf numFmtId="0" fontId="0" fillId="0" borderId="9" xfId="0" applyBorder="1" applyAlignment="1">
      <alignment horizontal="center" vertical="center" wrapText="1"/>
    </xf>
    <xf numFmtId="0" fontId="0" fillId="0" borderId="9" xfId="0" applyBorder="1" applyAlignment="1">
      <alignment horizontal="left" vertical="center"/>
    </xf>
    <xf numFmtId="0" fontId="9" fillId="10" borderId="17" xfId="0" applyFont="1" applyFill="1" applyBorder="1" applyAlignment="1">
      <alignment horizontal="center" vertical="center" wrapText="1"/>
    </xf>
    <xf numFmtId="0" fontId="15" fillId="0" borderId="9" xfId="0" applyFont="1" applyBorder="1" applyAlignment="1">
      <alignment horizontal="left" vertical="top" wrapText="1"/>
    </xf>
    <xf numFmtId="0" fontId="9" fillId="8" borderId="9" xfId="0" applyFont="1" applyFill="1" applyBorder="1" applyAlignment="1">
      <alignment vertical="top" wrapText="1"/>
    </xf>
    <xf numFmtId="0" fontId="0" fillId="8" borderId="9" xfId="0" applyFill="1" applyBorder="1" applyAlignment="1">
      <alignment horizontal="center" vertical="center" wrapText="1"/>
    </xf>
    <xf numFmtId="0" fontId="4" fillId="9" borderId="9" xfId="0" applyFont="1" applyFill="1" applyBorder="1" applyAlignment="1">
      <alignment horizontal="center" vertical="center"/>
    </xf>
    <xf numFmtId="0" fontId="4" fillId="8" borderId="0" xfId="0" applyFont="1" applyFill="1" applyAlignment="1">
      <alignment horizontal="left" vertical="center"/>
    </xf>
    <xf numFmtId="0" fontId="4" fillId="10" borderId="9" xfId="0" applyFont="1" applyFill="1" applyBorder="1" applyAlignment="1">
      <alignment horizontal="center" vertical="center" wrapText="1"/>
    </xf>
    <xf numFmtId="0" fontId="4" fillId="7" borderId="9" xfId="0" applyFont="1" applyFill="1" applyBorder="1" applyAlignment="1">
      <alignment horizontal="center" vertical="center"/>
    </xf>
    <xf numFmtId="0" fontId="4" fillId="10" borderId="9" xfId="0" applyFont="1" applyFill="1" applyBorder="1" applyAlignment="1">
      <alignment horizontal="center" vertical="center"/>
    </xf>
    <xf numFmtId="0" fontId="3" fillId="0" borderId="0" xfId="0" applyFont="1" applyAlignment="1">
      <alignment horizontal="left" vertical="center" wrapText="1"/>
    </xf>
    <xf numFmtId="0" fontId="6" fillId="17" borderId="10" xfId="0" applyFont="1" applyFill="1" applyBorder="1" applyAlignment="1">
      <alignment horizontal="center" vertical="center" wrapText="1"/>
    </xf>
    <xf numFmtId="0" fontId="6" fillId="17" borderId="17" xfId="0" applyFont="1" applyFill="1" applyBorder="1" applyAlignment="1">
      <alignment horizontal="center" vertical="center" wrapText="1"/>
    </xf>
    <xf numFmtId="0" fontId="6" fillId="17" borderId="18" xfId="0" applyFont="1" applyFill="1" applyBorder="1" applyAlignment="1">
      <alignment horizontal="center" vertical="center" wrapText="1"/>
    </xf>
    <xf numFmtId="0" fontId="6" fillId="16" borderId="9" xfId="0" applyFont="1" applyFill="1" applyBorder="1" applyAlignment="1">
      <alignment horizontal="center" vertical="center"/>
    </xf>
    <xf numFmtId="0" fontId="6" fillId="16" borderId="9" xfId="0" applyFont="1" applyFill="1" applyBorder="1" applyAlignment="1">
      <alignment horizontal="center" vertical="center" wrapText="1"/>
    </xf>
    <xf numFmtId="0" fontId="6" fillId="16" borderId="10" xfId="0" applyFont="1" applyFill="1" applyBorder="1" applyAlignment="1">
      <alignment horizontal="center" vertical="center"/>
    </xf>
    <xf numFmtId="0" fontId="6" fillId="16" borderId="10" xfId="0" applyFont="1" applyFill="1" applyBorder="1" applyAlignment="1">
      <alignment horizontal="center" vertical="center" wrapText="1"/>
    </xf>
    <xf numFmtId="0" fontId="0" fillId="15" borderId="10" xfId="0" applyFill="1" applyBorder="1" applyAlignment="1">
      <alignment horizontal="center"/>
    </xf>
    <xf numFmtId="0" fontId="0" fillId="15" borderId="17" xfId="0" applyFill="1" applyBorder="1" applyAlignment="1">
      <alignment horizontal="center"/>
    </xf>
    <xf numFmtId="0" fontId="0" fillId="15" borderId="18" xfId="0" applyFill="1" applyBorder="1" applyAlignment="1">
      <alignment horizontal="center"/>
    </xf>
    <xf numFmtId="0" fontId="9" fillId="10" borderId="10" xfId="0" applyFont="1" applyFill="1" applyBorder="1" applyAlignment="1">
      <alignment horizontal="center" vertical="center" wrapText="1"/>
    </xf>
    <xf numFmtId="0" fontId="9" fillId="10" borderId="17"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9" borderId="18"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8" xfId="0" applyFont="1" applyBorder="1" applyAlignment="1">
      <alignment horizontal="center" vertical="center"/>
    </xf>
    <xf numFmtId="0" fontId="7" fillId="9" borderId="10"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7" fillId="9" borderId="18" xfId="0" applyFont="1" applyFill="1" applyBorder="1" applyAlignment="1">
      <alignment horizontal="center" vertical="center" wrapText="1"/>
    </xf>
    <xf numFmtId="0" fontId="6" fillId="0" borderId="10" xfId="0" applyFont="1" applyBorder="1" applyAlignment="1">
      <alignment horizontal="center" vertical="center" wrapText="1"/>
    </xf>
    <xf numFmtId="0" fontId="6" fillId="0" borderId="18" xfId="0" applyFont="1" applyBorder="1" applyAlignment="1">
      <alignment horizontal="center" vertical="center" wrapText="1"/>
    </xf>
    <xf numFmtId="0" fontId="11" fillId="0" borderId="9" xfId="0" applyFont="1" applyBorder="1" applyAlignment="1">
      <alignment horizontal="center" vertical="center"/>
    </xf>
    <xf numFmtId="0" fontId="4" fillId="7" borderId="9"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6" fillId="6" borderId="12" xfId="0" applyFont="1" applyFill="1" applyBorder="1" applyAlignment="1">
      <alignment horizontal="left" vertical="center"/>
    </xf>
    <xf numFmtId="0" fontId="6" fillId="6" borderId="13" xfId="0" applyFont="1" applyFill="1" applyBorder="1" applyAlignment="1">
      <alignment horizontal="left" vertical="center"/>
    </xf>
    <xf numFmtId="0" fontId="6" fillId="6" borderId="14" xfId="0" applyFont="1" applyFill="1" applyBorder="1" applyAlignment="1">
      <alignment horizontal="left" vertical="center"/>
    </xf>
    <xf numFmtId="0" fontId="6" fillId="6" borderId="9" xfId="0" applyFont="1" applyFill="1" applyBorder="1" applyAlignment="1">
      <alignment horizontal="left" vertical="center" wrapText="1"/>
    </xf>
    <xf numFmtId="0" fontId="11" fillId="6" borderId="9" xfId="0" applyFont="1" applyFill="1" applyBorder="1" applyAlignment="1">
      <alignment horizontal="left" vertical="center"/>
    </xf>
    <xf numFmtId="0" fontId="13" fillId="6" borderId="12" xfId="0" applyFont="1" applyFill="1" applyBorder="1" applyAlignment="1">
      <alignment horizontal="left" vertical="center"/>
    </xf>
    <xf numFmtId="0" fontId="13" fillId="6" borderId="13" xfId="0" applyFont="1" applyFill="1" applyBorder="1" applyAlignment="1">
      <alignment horizontal="left" vertical="center"/>
    </xf>
    <xf numFmtId="0" fontId="13" fillId="6" borderId="14" xfId="0" applyFont="1" applyFill="1" applyBorder="1" applyAlignment="1">
      <alignment horizontal="left" vertical="center"/>
    </xf>
    <xf numFmtId="0" fontId="13" fillId="6" borderId="12" xfId="0" applyFont="1" applyFill="1" applyBorder="1" applyAlignment="1">
      <alignment horizontal="left" vertical="center" wrapText="1"/>
    </xf>
    <xf numFmtId="0" fontId="13" fillId="6" borderId="13" xfId="0" applyFont="1" applyFill="1" applyBorder="1" applyAlignment="1">
      <alignment horizontal="left" vertical="center" wrapText="1"/>
    </xf>
    <xf numFmtId="0" fontId="13" fillId="6" borderId="14"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6" borderId="11"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13" xfId="0" applyFont="1" applyFill="1" applyBorder="1" applyAlignment="1">
      <alignment horizontal="left" vertical="center" wrapText="1"/>
    </xf>
    <xf numFmtId="0" fontId="11" fillId="6" borderId="14" xfId="0" applyFont="1" applyFill="1" applyBorder="1" applyAlignment="1">
      <alignment horizontal="left" vertical="center" wrapText="1"/>
    </xf>
    <xf numFmtId="0" fontId="0" fillId="0" borderId="9" xfId="0" applyBorder="1" applyAlignment="1">
      <alignment horizontal="center" vertical="center"/>
    </xf>
    <xf numFmtId="0" fontId="0" fillId="0" borderId="9" xfId="0" applyBorder="1" applyAlignment="1">
      <alignment horizontal="center"/>
    </xf>
    <xf numFmtId="0" fontId="10" fillId="0" borderId="0" xfId="0" applyFont="1" applyAlignment="1">
      <alignment horizontal="center"/>
    </xf>
    <xf numFmtId="0" fontId="0" fillId="0" borderId="10"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4" fillId="10" borderId="10" xfId="0" applyFont="1" applyFill="1" applyBorder="1" applyAlignment="1">
      <alignment horizontal="center" vertical="center"/>
    </xf>
    <xf numFmtId="0" fontId="4" fillId="10" borderId="17" xfId="0" applyFont="1" applyFill="1" applyBorder="1" applyAlignment="1">
      <alignment horizontal="center" vertical="center"/>
    </xf>
    <xf numFmtId="0" fontId="4" fillId="10" borderId="18" xfId="0" applyFont="1" applyFill="1" applyBorder="1" applyAlignment="1">
      <alignment horizontal="center" vertical="center"/>
    </xf>
    <xf numFmtId="0" fontId="0" fillId="0" borderId="9" xfId="0" applyBorder="1" applyAlignment="1">
      <alignment horizontal="left" vertical="top" wrapText="1"/>
    </xf>
    <xf numFmtId="0" fontId="0" fillId="0" borderId="9" xfId="0" applyBorder="1" applyAlignment="1">
      <alignment horizontal="left" vertical="top"/>
    </xf>
    <xf numFmtId="0" fontId="16" fillId="10" borderId="9" xfId="0" applyFont="1" applyFill="1" applyBorder="1" applyAlignment="1">
      <alignment horizontal="center" vertical="center" wrapText="1"/>
    </xf>
    <xf numFmtId="0" fontId="17" fillId="10" borderId="9" xfId="0" applyFont="1" applyFill="1" applyBorder="1" applyAlignment="1">
      <alignment horizontal="justify" vertical="center"/>
    </xf>
    <xf numFmtId="0" fontId="18" fillId="10" borderId="10" xfId="0" applyFont="1" applyFill="1" applyBorder="1" applyAlignment="1">
      <alignment horizontal="left" vertical="top" wrapText="1"/>
    </xf>
    <xf numFmtId="0" fontId="18" fillId="10" borderId="17" xfId="0" applyFont="1" applyFill="1" applyBorder="1" applyAlignment="1">
      <alignment horizontal="left" vertical="top" wrapText="1"/>
    </xf>
    <xf numFmtId="0" fontId="18" fillId="10" borderId="18" xfId="0" applyFont="1" applyFill="1" applyBorder="1" applyAlignment="1">
      <alignment horizontal="left" vertical="top" wrapText="1"/>
    </xf>
    <xf numFmtId="0" fontId="18" fillId="10" borderId="18" xfId="0" applyFont="1" applyFill="1" applyBorder="1" applyAlignment="1">
      <alignment horizontal="left" vertical="top" wrapText="1"/>
    </xf>
    <xf numFmtId="0" fontId="18" fillId="7"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7938</xdr:colOff>
      <xdr:row>0</xdr:row>
      <xdr:rowOff>0</xdr:rowOff>
    </xdr:from>
    <xdr:to>
      <xdr:col>9</xdr:col>
      <xdr:colOff>0</xdr:colOff>
      <xdr:row>2</xdr:row>
      <xdr:rowOff>199201</xdr:rowOff>
    </xdr:to>
    <xdr:pic>
      <xdr:nvPicPr>
        <xdr:cNvPr id="2" name="Picture 1">
          <a:extLst>
            <a:ext uri="{FF2B5EF4-FFF2-40B4-BE49-F238E27FC236}">
              <a16:creationId xmlns:a16="http://schemas.microsoft.com/office/drawing/2014/main" id="{49CC2F1D-D612-4CBF-9B87-7255B614F1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938" y="0"/>
          <a:ext cx="13755687" cy="3528189"/>
        </a:xfrm>
        <a:prstGeom prst="rect">
          <a:avLst/>
        </a:prstGeom>
      </xdr:spPr>
    </xdr:pic>
    <xdr:clientData/>
  </xdr:twoCellAnchor>
  <xdr:twoCellAnchor>
    <xdr:from>
      <xdr:col>2</xdr:col>
      <xdr:colOff>83553</xdr:colOff>
      <xdr:row>4</xdr:row>
      <xdr:rowOff>126444</xdr:rowOff>
    </xdr:from>
    <xdr:to>
      <xdr:col>4</xdr:col>
      <xdr:colOff>924649</xdr:colOff>
      <xdr:row>5</xdr:row>
      <xdr:rowOff>879727</xdr:rowOff>
    </xdr:to>
    <xdr:sp macro="" textlink="">
      <xdr:nvSpPr>
        <xdr:cNvPr id="3" name="Flowchart: Off-page Connector 2">
          <a:extLst>
            <a:ext uri="{FF2B5EF4-FFF2-40B4-BE49-F238E27FC236}">
              <a16:creationId xmlns:a16="http://schemas.microsoft.com/office/drawing/2014/main" id="{46DFF8C1-1E97-49FF-B019-ED7C14D7C24A}"/>
            </a:ext>
          </a:extLst>
        </xdr:cNvPr>
        <xdr:cNvSpPr/>
      </xdr:nvSpPr>
      <xdr:spPr>
        <a:xfrm rot="16200000">
          <a:off x="2322972" y="3640126"/>
          <a:ext cx="1286683" cy="2955646"/>
        </a:xfrm>
        <a:prstGeom prst="flowChartOffpageConnector">
          <a:avLst/>
        </a:prstGeom>
        <a:solidFill>
          <a:srgbClr val="206072"/>
        </a:solidFill>
        <a:ln>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lstStyle/>
        <a:p>
          <a:pPr algn="l"/>
          <a:r>
            <a:rPr lang="en-ID" sz="1600" b="1" i="0">
              <a:solidFill>
                <a:schemeClr val="lt1"/>
              </a:solidFill>
              <a:effectLst/>
              <a:latin typeface="+mn-lt"/>
              <a:ea typeface="+mn-ea"/>
              <a:cs typeface="+mn-cs"/>
            </a:rPr>
            <a:t>Langkah 1.</a:t>
          </a:r>
          <a:endParaRPr lang="en-ID" sz="1600">
            <a:solidFill>
              <a:schemeClr val="lt1"/>
            </a:solidFill>
            <a:effectLst/>
            <a:latin typeface="+mn-lt"/>
            <a:ea typeface="+mn-ea"/>
            <a:cs typeface="+mn-cs"/>
          </a:endParaRPr>
        </a:p>
        <a:p>
          <a:pPr algn="l"/>
          <a:r>
            <a:rPr lang="en-ID" sz="1600"/>
            <a:t>Pastikan Anda telah mengisi skor untuk setiap butir.</a:t>
          </a:r>
          <a:endParaRPr lang="en-ID" sz="1600" b="0" i="0">
            <a:solidFill>
              <a:schemeClr val="lt1"/>
            </a:solidFill>
            <a:effectLst/>
            <a:latin typeface="+mn-lt"/>
            <a:ea typeface="+mn-ea"/>
            <a:cs typeface="+mn-cs"/>
          </a:endParaRPr>
        </a:p>
      </xdr:txBody>
    </xdr:sp>
    <xdr:clientData/>
  </xdr:twoCellAnchor>
  <xdr:twoCellAnchor>
    <xdr:from>
      <xdr:col>5</xdr:col>
      <xdr:colOff>24287</xdr:colOff>
      <xdr:row>4</xdr:row>
      <xdr:rowOff>111741</xdr:rowOff>
    </xdr:from>
    <xdr:to>
      <xdr:col>6</xdr:col>
      <xdr:colOff>1512793</xdr:colOff>
      <xdr:row>5</xdr:row>
      <xdr:rowOff>878417</xdr:rowOff>
    </xdr:to>
    <xdr:sp macro="" textlink="">
      <xdr:nvSpPr>
        <xdr:cNvPr id="4" name="Flowchart: Off-page Connector 3">
          <a:extLst>
            <a:ext uri="{FF2B5EF4-FFF2-40B4-BE49-F238E27FC236}">
              <a16:creationId xmlns:a16="http://schemas.microsoft.com/office/drawing/2014/main" id="{0616E8D5-5AF7-4944-8065-5479D81E79EE}"/>
            </a:ext>
          </a:extLst>
        </xdr:cNvPr>
        <xdr:cNvSpPr/>
      </xdr:nvSpPr>
      <xdr:spPr>
        <a:xfrm rot="16200000">
          <a:off x="5707296" y="3510820"/>
          <a:ext cx="1300076" cy="3198244"/>
        </a:xfrm>
        <a:prstGeom prst="flowChartOffpageConnector">
          <a:avLst/>
        </a:prstGeom>
        <a:solidFill>
          <a:srgbClr val="206072"/>
        </a:solidFill>
        <a:ln>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lstStyle/>
        <a:p>
          <a:r>
            <a:rPr lang="en-ID" sz="1600" b="1" i="0">
              <a:solidFill>
                <a:schemeClr val="lt1"/>
              </a:solidFill>
              <a:effectLst/>
              <a:latin typeface="+mn-lt"/>
              <a:ea typeface="+mn-ea"/>
              <a:cs typeface="+mn-cs"/>
            </a:rPr>
            <a:t>Langkah 2.</a:t>
          </a:r>
          <a:endParaRPr lang="en-ID" sz="1600">
            <a:solidFill>
              <a:schemeClr val="lt1"/>
            </a:solidFill>
            <a:effectLst/>
            <a:latin typeface="+mn-lt"/>
            <a:ea typeface="+mn-ea"/>
            <a:cs typeface="+mn-cs"/>
          </a:endParaRPr>
        </a:p>
        <a:p>
          <a:r>
            <a:rPr lang="en-ID" sz="1600"/>
            <a:t>Periksa kembali hasil isian Anda melalui menu </a:t>
          </a:r>
          <a:r>
            <a:rPr lang="en-ID" sz="1600" i="1"/>
            <a:t>Rekap Penentuan Penilaian</a:t>
          </a:r>
          <a:r>
            <a:rPr lang="en-ID" sz="1600"/>
            <a:t>.</a:t>
          </a:r>
          <a:endParaRPr lang="en-ID" sz="1600">
            <a:solidFill>
              <a:schemeClr val="lt1"/>
            </a:solidFill>
            <a:effectLst/>
            <a:latin typeface="+mn-lt"/>
            <a:ea typeface="+mn-ea"/>
            <a:cs typeface="+mn-cs"/>
          </a:endParaRPr>
        </a:p>
      </xdr:txBody>
    </xdr:sp>
    <xdr:clientData/>
  </xdr:twoCellAnchor>
  <xdr:twoCellAnchor>
    <xdr:from>
      <xdr:col>7</xdr:col>
      <xdr:colOff>9584</xdr:colOff>
      <xdr:row>4</xdr:row>
      <xdr:rowOff>85896</xdr:rowOff>
    </xdr:from>
    <xdr:to>
      <xdr:col>7</xdr:col>
      <xdr:colOff>3319828</xdr:colOff>
      <xdr:row>5</xdr:row>
      <xdr:rowOff>867276</xdr:rowOff>
    </xdr:to>
    <xdr:sp macro="" textlink="">
      <xdr:nvSpPr>
        <xdr:cNvPr id="5" name="Flowchart: Off-page Connector 4">
          <a:extLst>
            <a:ext uri="{FF2B5EF4-FFF2-40B4-BE49-F238E27FC236}">
              <a16:creationId xmlns:a16="http://schemas.microsoft.com/office/drawing/2014/main" id="{A6477D89-64E3-467F-B486-3033EEDF39BE}"/>
            </a:ext>
          </a:extLst>
        </xdr:cNvPr>
        <xdr:cNvSpPr/>
      </xdr:nvSpPr>
      <xdr:spPr>
        <a:xfrm rot="16200000">
          <a:off x="9179766" y="3436327"/>
          <a:ext cx="1314780" cy="3310244"/>
        </a:xfrm>
        <a:prstGeom prst="flowChartOffpageConnector">
          <a:avLst/>
        </a:prstGeom>
        <a:solidFill>
          <a:srgbClr val="206072"/>
        </a:solidFill>
        <a:ln>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lstStyle/>
        <a:p>
          <a:r>
            <a:rPr lang="en-ID" sz="1600" b="1" i="0">
              <a:solidFill>
                <a:schemeClr val="lt1"/>
              </a:solidFill>
              <a:effectLst/>
              <a:latin typeface="+mn-lt"/>
              <a:ea typeface="+mn-ea"/>
              <a:cs typeface="+mn-cs"/>
            </a:rPr>
            <a:t>Langkah 3.</a:t>
          </a:r>
          <a:endParaRPr lang="en-ID" sz="1600">
            <a:solidFill>
              <a:schemeClr val="lt1"/>
            </a:solidFill>
            <a:effectLst/>
            <a:latin typeface="+mn-lt"/>
            <a:ea typeface="+mn-ea"/>
            <a:cs typeface="+mn-cs"/>
          </a:endParaRPr>
        </a:p>
        <a:p>
          <a:r>
            <a:rPr lang="en-ID" sz="1600"/>
            <a:t>📤 Unggah dokumen ini ke SISPENA.</a:t>
          </a:r>
          <a:endParaRPr lang="en-ID" sz="1600">
            <a:solidFill>
              <a:schemeClr val="lt1"/>
            </a:solidFill>
            <a:effectLst/>
            <a:latin typeface="+mn-lt"/>
            <a:ea typeface="+mn-ea"/>
            <a:cs typeface="+mn-cs"/>
          </a:endParaRPr>
        </a:p>
      </xdr:txBody>
    </xdr:sp>
    <xdr:clientData/>
  </xdr:twoCellAnchor>
  <xdr:twoCellAnchor>
    <xdr:from>
      <xdr:col>2</xdr:col>
      <xdr:colOff>169752</xdr:colOff>
      <xdr:row>7</xdr:row>
      <xdr:rowOff>81044</xdr:rowOff>
    </xdr:from>
    <xdr:to>
      <xdr:col>4</xdr:col>
      <xdr:colOff>1037167</xdr:colOff>
      <xdr:row>7</xdr:row>
      <xdr:rowOff>1037165</xdr:rowOff>
    </xdr:to>
    <xdr:sp macro="" textlink="">
      <xdr:nvSpPr>
        <xdr:cNvPr id="6" name="Flowchart: Terminator 5">
          <a:extLst>
            <a:ext uri="{FF2B5EF4-FFF2-40B4-BE49-F238E27FC236}">
              <a16:creationId xmlns:a16="http://schemas.microsoft.com/office/drawing/2014/main" id="{AE258ABF-706B-4E3C-BD65-B02A43E9BBF3}"/>
            </a:ext>
          </a:extLst>
        </xdr:cNvPr>
        <xdr:cNvSpPr/>
      </xdr:nvSpPr>
      <xdr:spPr>
        <a:xfrm>
          <a:off x="1574690" y="5943682"/>
          <a:ext cx="2981965" cy="956121"/>
        </a:xfrm>
        <a:prstGeom prst="flowChartTerminator">
          <a:avLst/>
        </a:prstGeom>
        <a:solidFill>
          <a:schemeClr val="bg1"/>
        </a:solidFill>
        <a:ln w="38100">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Klik tombol berikut untuk memulai</a:t>
          </a:r>
        </a:p>
      </xdr:txBody>
    </xdr:sp>
    <xdr:clientData/>
  </xdr:twoCellAnchor>
  <xdr:twoCellAnchor>
    <xdr:from>
      <xdr:col>5</xdr:col>
      <xdr:colOff>431078</xdr:colOff>
      <xdr:row>7</xdr:row>
      <xdr:rowOff>287815</xdr:rowOff>
    </xdr:from>
    <xdr:to>
      <xdr:col>5</xdr:col>
      <xdr:colOff>1646950</xdr:colOff>
      <xdr:row>7</xdr:row>
      <xdr:rowOff>698501</xdr:rowOff>
    </xdr:to>
    <xdr:sp macro="" textlink="">
      <xdr:nvSpPr>
        <xdr:cNvPr id="7" name="Arrow: Right 6">
          <a:extLst>
            <a:ext uri="{FF2B5EF4-FFF2-40B4-BE49-F238E27FC236}">
              <a16:creationId xmlns:a16="http://schemas.microsoft.com/office/drawing/2014/main" id="{EF38C8B3-864F-4F5B-8CED-6526D4AF9062}"/>
            </a:ext>
          </a:extLst>
        </xdr:cNvPr>
        <xdr:cNvSpPr/>
      </xdr:nvSpPr>
      <xdr:spPr>
        <a:xfrm>
          <a:off x="5165003" y="6150453"/>
          <a:ext cx="1215872" cy="410686"/>
        </a:xfrm>
        <a:prstGeom prst="rightArrow">
          <a:avLst/>
        </a:prstGeom>
        <a:solidFill>
          <a:srgbClr val="206072"/>
        </a:solidFill>
        <a:ln>
          <a:solidFill>
            <a:srgbClr val="206072"/>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537383</xdr:colOff>
      <xdr:row>7</xdr:row>
      <xdr:rowOff>220300</xdr:rowOff>
    </xdr:from>
    <xdr:to>
      <xdr:col>7</xdr:col>
      <xdr:colOff>2709333</xdr:colOff>
      <xdr:row>7</xdr:row>
      <xdr:rowOff>772583</xdr:rowOff>
    </xdr:to>
    <xdr:sp macro="[1]!ThisWorkbook.GoToKomponen1" textlink="">
      <xdr:nvSpPr>
        <xdr:cNvPr id="8" name="Rectangle: Rounded Corners 7">
          <a:extLst>
            <a:ext uri="{FF2B5EF4-FFF2-40B4-BE49-F238E27FC236}">
              <a16:creationId xmlns:a16="http://schemas.microsoft.com/office/drawing/2014/main" id="{F5757C00-C095-497F-B5FF-73978D362936}"/>
            </a:ext>
          </a:extLst>
        </xdr:cNvPr>
        <xdr:cNvSpPr/>
      </xdr:nvSpPr>
      <xdr:spPr>
        <a:xfrm>
          <a:off x="6981046" y="6082938"/>
          <a:ext cx="3900737" cy="552283"/>
        </a:xfrm>
        <a:prstGeom prst="roundRect">
          <a:avLst/>
        </a:prstGeom>
        <a:solidFill>
          <a:srgbClr val="F9B900"/>
        </a:solidFill>
        <a:ln>
          <a:solidFill>
            <a:srgbClr val="F9B9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Mulai Komponen</a:t>
          </a:r>
          <a:r>
            <a:rPr lang="en-ID" sz="1600" baseline="0">
              <a:solidFill>
                <a:sysClr val="windowText" lastClr="000000"/>
              </a:solidFill>
            </a:rPr>
            <a:t> 1 - BORANG</a:t>
          </a:r>
          <a:endParaRPr lang="en-ID" sz="1600" b="1">
            <a:solidFill>
              <a:sysClr val="windowText" lastClr="000000"/>
            </a:solidFill>
          </a:endParaRPr>
        </a:p>
      </xdr:txBody>
    </xdr:sp>
    <xdr:clientData/>
  </xdr:twoCellAnchor>
  <xdr:twoCellAnchor>
    <xdr:from>
      <xdr:col>2</xdr:col>
      <xdr:colOff>176630</xdr:colOff>
      <xdr:row>7</xdr:row>
      <xdr:rowOff>1196528</xdr:rowOff>
    </xdr:from>
    <xdr:to>
      <xdr:col>4</xdr:col>
      <xdr:colOff>1090084</xdr:colOff>
      <xdr:row>8</xdr:row>
      <xdr:rowOff>836083</xdr:rowOff>
    </xdr:to>
    <xdr:sp macro="" textlink="">
      <xdr:nvSpPr>
        <xdr:cNvPr id="9" name="Flowchart: Terminator 8">
          <a:extLst>
            <a:ext uri="{FF2B5EF4-FFF2-40B4-BE49-F238E27FC236}">
              <a16:creationId xmlns:a16="http://schemas.microsoft.com/office/drawing/2014/main" id="{EB3C0A9C-6481-4DAF-A11B-39CEB1F73096}"/>
            </a:ext>
          </a:extLst>
        </xdr:cNvPr>
        <xdr:cNvSpPr/>
      </xdr:nvSpPr>
      <xdr:spPr>
        <a:xfrm>
          <a:off x="1581568" y="7059166"/>
          <a:ext cx="3028004" cy="944480"/>
        </a:xfrm>
        <a:prstGeom prst="flowChartTerminator">
          <a:avLst/>
        </a:prstGeom>
        <a:solidFill>
          <a:schemeClr val="bg1"/>
        </a:solidFill>
        <a:ln w="38100">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Klik</a:t>
          </a:r>
          <a:r>
            <a:rPr lang="en-ID" sz="1600" baseline="0">
              <a:solidFill>
                <a:sysClr val="windowText" lastClr="000000"/>
              </a:solidFill>
            </a:rPr>
            <a:t> u</a:t>
          </a:r>
          <a:r>
            <a:rPr lang="en-ID" sz="1600">
              <a:solidFill>
                <a:sysClr val="windowText" lastClr="000000"/>
              </a:solidFill>
            </a:rPr>
            <a:t>ntuk</a:t>
          </a:r>
          <a:r>
            <a:rPr lang="en-ID" sz="1600" baseline="0">
              <a:solidFill>
                <a:sysClr val="windowText" lastClr="000000"/>
              </a:solidFill>
            </a:rPr>
            <a:t> melihat rekap penentuan penilaian</a:t>
          </a:r>
          <a:endParaRPr lang="en-ID" sz="1600">
            <a:solidFill>
              <a:sysClr val="windowText" lastClr="000000"/>
            </a:solidFill>
          </a:endParaRPr>
        </a:p>
      </xdr:txBody>
    </xdr:sp>
    <xdr:clientData/>
  </xdr:twoCellAnchor>
  <xdr:twoCellAnchor>
    <xdr:from>
      <xdr:col>6</xdr:col>
      <xdr:colOff>565429</xdr:colOff>
      <xdr:row>8</xdr:row>
      <xdr:rowOff>65783</xdr:rowOff>
    </xdr:from>
    <xdr:to>
      <xdr:col>7</xdr:col>
      <xdr:colOff>2794001</xdr:colOff>
      <xdr:row>8</xdr:row>
      <xdr:rowOff>603249</xdr:rowOff>
    </xdr:to>
    <xdr:sp macro="[1]!ThisWorkbook.GoToRekapPenentuanPenilaian" textlink="">
      <xdr:nvSpPr>
        <xdr:cNvPr id="10" name="Rectangle: Rounded Corners 9">
          <a:extLst>
            <a:ext uri="{FF2B5EF4-FFF2-40B4-BE49-F238E27FC236}">
              <a16:creationId xmlns:a16="http://schemas.microsoft.com/office/drawing/2014/main" id="{A911B687-55FB-4BA7-ACB2-FB2A59005B38}"/>
            </a:ext>
          </a:extLst>
        </xdr:cNvPr>
        <xdr:cNvSpPr/>
      </xdr:nvSpPr>
      <xdr:spPr>
        <a:xfrm>
          <a:off x="7009092" y="7233346"/>
          <a:ext cx="3957359" cy="537466"/>
        </a:xfrm>
        <a:prstGeom prst="roundRect">
          <a:avLst/>
        </a:prstGeom>
        <a:solidFill>
          <a:srgbClr val="206072"/>
        </a:solidFill>
        <a:ln>
          <a:solidFill>
            <a:srgbClr val="20607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0">
              <a:solidFill>
                <a:schemeClr val="bg1"/>
              </a:solidFill>
            </a:rPr>
            <a:t>Rekap Penentuan Penilaian</a:t>
          </a:r>
        </a:p>
      </xdr:txBody>
    </xdr:sp>
    <xdr:clientData/>
  </xdr:twoCellAnchor>
  <xdr:twoCellAnchor>
    <xdr:from>
      <xdr:col>5</xdr:col>
      <xdr:colOff>470934</xdr:colOff>
      <xdr:row>8</xdr:row>
      <xdr:rowOff>143623</xdr:rowOff>
    </xdr:from>
    <xdr:to>
      <xdr:col>5</xdr:col>
      <xdr:colOff>1686806</xdr:colOff>
      <xdr:row>8</xdr:row>
      <xdr:rowOff>518582</xdr:rowOff>
    </xdr:to>
    <xdr:sp macro="" textlink="">
      <xdr:nvSpPr>
        <xdr:cNvPr id="11" name="Arrow: Right 10">
          <a:extLst>
            <a:ext uri="{FF2B5EF4-FFF2-40B4-BE49-F238E27FC236}">
              <a16:creationId xmlns:a16="http://schemas.microsoft.com/office/drawing/2014/main" id="{ECC86B8C-261F-46F1-918C-E49DAED0D9FD}"/>
            </a:ext>
          </a:extLst>
        </xdr:cNvPr>
        <xdr:cNvSpPr/>
      </xdr:nvSpPr>
      <xdr:spPr>
        <a:xfrm>
          <a:off x="5204859" y="7311186"/>
          <a:ext cx="1215872" cy="374959"/>
        </a:xfrm>
        <a:prstGeom prst="rightArrow">
          <a:avLst/>
        </a:prstGeom>
        <a:solidFill>
          <a:srgbClr val="206072"/>
        </a:solidFill>
        <a:ln>
          <a:solidFill>
            <a:srgbClr val="206072"/>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547688</xdr:colOff>
      <xdr:row>5</xdr:row>
      <xdr:rowOff>182562</xdr:rowOff>
    </xdr:from>
    <xdr:to>
      <xdr:col>7</xdr:col>
      <xdr:colOff>1</xdr:colOff>
      <xdr:row>7</xdr:row>
      <xdr:rowOff>944563</xdr:rowOff>
    </xdr:to>
    <xdr:sp macro="" textlink="">
      <xdr:nvSpPr>
        <xdr:cNvPr id="12" name="TextBox 11">
          <a:extLst>
            <a:ext uri="{FF2B5EF4-FFF2-40B4-BE49-F238E27FC236}">
              <a16:creationId xmlns:a16="http://schemas.microsoft.com/office/drawing/2014/main" id="{28CAAADE-33F0-DAFF-0198-43359A1DE268}"/>
            </a:ext>
          </a:extLst>
        </xdr:cNvPr>
        <xdr:cNvSpPr txBox="1"/>
      </xdr:nvSpPr>
      <xdr:spPr>
        <a:xfrm rot="19885087">
          <a:off x="4064001" y="5032375"/>
          <a:ext cx="4103688" cy="1738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0"/>
            <a:t>Contoh</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AN-SM/2025/PELATIHAN%20IA%20DASMEN%202025/LK%20Penggalian%20Data%20dan%20Penilaian/Cuplikan_Butir_1_LK%20Penggalian%20Data%20dan%20Penilaian.xlsm" TargetMode="External"/><Relationship Id="rId2" Type="http://schemas.openxmlformats.org/officeDocument/2006/relationships/externalLinkPath" Target="file:///D:\BAN-SM\2025\PELATIHAN%20IA%20DASMEN%202025\LK%20Penggalian%20Data%20dan%20Penilaian\Cuplikan_Butir_1_LK%20Penggalian%20Data%20dan%20Penilaian.xlsm" TargetMode="External"/><Relationship Id="rId1" Type="http://schemas.openxmlformats.org/officeDocument/2006/relationships/externalLinkPath" Target="/BAN-SM/2025/PELATIHAN%20IA%20DASMEN%202025/LK%20Penggalian%20Data%20dan%20Penilaian/Cuplikan_Butir_1_LK%20Penggalian%20Data%20dan%20Penilaia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nduan Penggunaan"/>
      <sheetName val="Rekap Penentuan Penilaian"/>
      <sheetName val="Komponen 1 - BORANG"/>
      <sheetName val="Instrumen"/>
      <sheetName val="Penyelesaian Masalah"/>
      <sheetName val="KeteranganSkor"/>
      <sheetName val="Skor"/>
      <sheetName val="Cuplikan_Butir_1_LK Penggalian "/>
    </sheetNames>
    <definedNames>
      <definedName name="ThisWorkbook.GoToKomponen1"/>
      <definedName name="ThisWorkbook.GoToRekapPenentuanPenilaian"/>
    </defined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171F-318E-4830-9D44-6B3798648F16}">
  <sheetPr codeName="Sheet1">
    <pageSetUpPr fitToPage="1"/>
  </sheetPr>
  <dimension ref="A1:I11"/>
  <sheetViews>
    <sheetView showGridLines="0" showRowColHeaders="0" zoomScale="60" zoomScaleNormal="60" workbookViewId="0">
      <selection activeCell="P8" sqref="P8"/>
    </sheetView>
  </sheetViews>
  <sheetFormatPr defaultRowHeight="14.25" x14ac:dyDescent="0.45"/>
  <cols>
    <col min="1" max="1" width="5.86328125" customWidth="1"/>
    <col min="2" max="2" width="13.796875" customWidth="1"/>
    <col min="3" max="3" width="24" customWidth="1"/>
    <col min="4" max="4" width="5.59765625" customWidth="1"/>
    <col min="5" max="5" width="17" customWidth="1"/>
    <col min="6" max="6" width="23.9296875" customWidth="1"/>
    <col min="7" max="7" width="24.19921875" customWidth="1"/>
    <col min="8" max="8" width="47" customWidth="1"/>
    <col min="9" max="9" width="31.265625" customWidth="1"/>
  </cols>
  <sheetData>
    <row r="1" spans="1:9" ht="247.5" customHeight="1" x14ac:dyDescent="0.45">
      <c r="A1" s="1"/>
      <c r="B1" s="2"/>
      <c r="C1" s="2"/>
      <c r="D1" s="2"/>
      <c r="E1" s="2"/>
      <c r="F1" s="3"/>
      <c r="G1" s="3"/>
      <c r="H1" s="3"/>
      <c r="I1" s="4"/>
    </row>
    <row r="2" spans="1:9" x14ac:dyDescent="0.45">
      <c r="A2" s="5"/>
      <c r="I2" s="6"/>
    </row>
    <row r="3" spans="1:9" ht="22.5" customHeight="1" x14ac:dyDescent="0.45">
      <c r="A3" s="7"/>
      <c r="B3" s="8"/>
      <c r="C3" s="9"/>
      <c r="D3" s="10"/>
      <c r="E3" s="10"/>
      <c r="F3" s="10"/>
      <c r="G3" s="8"/>
      <c r="H3" s="8"/>
      <c r="I3" s="6"/>
    </row>
    <row r="4" spans="1:9" ht="56" customHeight="1" x14ac:dyDescent="0.45">
      <c r="A4" s="7"/>
      <c r="B4" s="8"/>
      <c r="C4" s="99" t="s">
        <v>0</v>
      </c>
      <c r="D4" s="99"/>
      <c r="E4" s="99"/>
      <c r="F4" s="99"/>
      <c r="G4" s="99"/>
      <c r="H4" s="99"/>
      <c r="I4" s="6"/>
    </row>
    <row r="5" spans="1:9" ht="42" customHeight="1" x14ac:dyDescent="0.45">
      <c r="A5" s="7"/>
      <c r="B5" s="8"/>
      <c r="C5" s="9"/>
      <c r="D5" s="9"/>
      <c r="E5" s="9"/>
      <c r="F5" s="9"/>
      <c r="G5" s="9"/>
      <c r="H5" s="9"/>
      <c r="I5" s="6"/>
    </row>
    <row r="6" spans="1:9" ht="76.5" customHeight="1" x14ac:dyDescent="0.45">
      <c r="A6" s="7"/>
      <c r="B6" s="8"/>
      <c r="C6" s="9"/>
      <c r="D6" s="9"/>
      <c r="E6" s="9"/>
      <c r="F6" s="9"/>
      <c r="G6" s="9"/>
      <c r="H6" s="9"/>
      <c r="I6" s="6"/>
    </row>
    <row r="7" spans="1:9" ht="1.05" customHeight="1" x14ac:dyDescent="0.45">
      <c r="A7" s="7"/>
      <c r="B7" s="8"/>
      <c r="C7" s="9"/>
      <c r="D7" s="9"/>
      <c r="E7" s="9"/>
      <c r="F7" s="9"/>
      <c r="G7" s="9"/>
      <c r="H7" s="9"/>
      <c r="I7" s="6"/>
    </row>
    <row r="8" spans="1:9" ht="103.05" customHeight="1" x14ac:dyDescent="0.45">
      <c r="A8" s="7"/>
      <c r="B8" s="8"/>
      <c r="C8" s="9"/>
      <c r="D8" s="9"/>
      <c r="E8" s="9"/>
      <c r="F8" s="9"/>
      <c r="G8" s="9"/>
      <c r="H8" s="9"/>
      <c r="I8" s="6"/>
    </row>
    <row r="9" spans="1:9" ht="103.05" customHeight="1" x14ac:dyDescent="0.45">
      <c r="A9" s="7"/>
      <c r="B9" s="8"/>
      <c r="C9" s="9"/>
      <c r="D9" s="9"/>
      <c r="E9" s="9"/>
      <c r="F9" s="9"/>
      <c r="G9" s="9"/>
      <c r="H9" s="9"/>
      <c r="I9" s="6"/>
    </row>
    <row r="10" spans="1:9" ht="34.049999999999997" customHeight="1" x14ac:dyDescent="0.45">
      <c r="A10" s="5"/>
      <c r="I10" s="6"/>
    </row>
    <row r="11" spans="1:9" ht="14.65" thickBot="1" x14ac:dyDescent="0.5">
      <c r="A11" s="11"/>
      <c r="B11" s="12"/>
      <c r="C11" s="12"/>
      <c r="D11" s="12"/>
      <c r="E11" s="12"/>
      <c r="F11" s="12"/>
      <c r="G11" s="12"/>
      <c r="H11" s="12"/>
      <c r="I11" s="13"/>
    </row>
  </sheetData>
  <sheetProtection sheet="1" formatCells="0" formatColumns="0" formatRows="0"/>
  <mergeCells count="1">
    <mergeCell ref="C4:H4"/>
  </mergeCells>
  <pageMargins left="0.7" right="0.7" top="0.75" bottom="0.75" header="0.3" footer="0.3"/>
  <pageSetup scale="42"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BD5C7-2D95-446B-BA4E-45E56A039F85}">
  <dimension ref="B2:F31"/>
  <sheetViews>
    <sheetView topLeftCell="C1" zoomScale="85" zoomScaleNormal="85" workbookViewId="0">
      <selection activeCell="E18" sqref="E18"/>
    </sheetView>
  </sheetViews>
  <sheetFormatPr defaultRowHeight="14.25" x14ac:dyDescent="0.45"/>
  <cols>
    <col min="3" max="3" width="18.06640625" customWidth="1"/>
    <col min="4" max="4" width="51.19921875" bestFit="1" customWidth="1"/>
    <col min="5" max="5" width="17.73046875" customWidth="1"/>
    <col min="6" max="6" width="77.9296875" customWidth="1"/>
  </cols>
  <sheetData>
    <row r="2" spans="2:6" ht="26.25" customHeight="1" x14ac:dyDescent="0.45">
      <c r="B2" s="20" t="s">
        <v>39</v>
      </c>
      <c r="C2" s="20" t="s">
        <v>10</v>
      </c>
      <c r="D2" s="20" t="s">
        <v>11</v>
      </c>
      <c r="E2" s="20" t="s">
        <v>1</v>
      </c>
      <c r="F2" s="20" t="s">
        <v>12</v>
      </c>
    </row>
    <row r="3" spans="2:6" ht="17.350000000000001" customHeight="1" x14ac:dyDescent="0.45">
      <c r="B3" s="21">
        <v>1</v>
      </c>
      <c r="C3" s="151" t="s">
        <v>13</v>
      </c>
      <c r="D3" s="22" t="s">
        <v>14</v>
      </c>
      <c r="E3" s="22">
        <v>1</v>
      </c>
      <c r="F3" s="19" t="s">
        <v>15</v>
      </c>
    </row>
    <row r="4" spans="2:6" ht="17.350000000000001" customHeight="1" x14ac:dyDescent="0.45">
      <c r="B4" s="21">
        <v>2</v>
      </c>
      <c r="C4" s="152"/>
      <c r="D4" s="96" t="s">
        <v>16</v>
      </c>
      <c r="E4" s="22">
        <v>2</v>
      </c>
      <c r="F4" s="19" t="s">
        <v>17</v>
      </c>
    </row>
    <row r="5" spans="2:6" ht="17.350000000000001" customHeight="1" x14ac:dyDescent="0.45">
      <c r="B5" s="21">
        <v>3</v>
      </c>
      <c r="C5" s="152"/>
      <c r="D5" s="96"/>
      <c r="E5" s="22">
        <v>3</v>
      </c>
      <c r="F5" s="19" t="s">
        <v>18</v>
      </c>
    </row>
    <row r="6" spans="2:6" ht="17.350000000000001" customHeight="1" x14ac:dyDescent="0.45">
      <c r="B6" s="21">
        <v>4</v>
      </c>
      <c r="C6" s="152"/>
      <c r="D6" s="22" t="s">
        <v>19</v>
      </c>
      <c r="E6" s="22">
        <v>4</v>
      </c>
      <c r="F6" s="19" t="s">
        <v>20</v>
      </c>
    </row>
    <row r="7" spans="2:6" ht="17.350000000000001" customHeight="1" x14ac:dyDescent="0.45">
      <c r="B7" s="21">
        <v>5</v>
      </c>
      <c r="C7" s="152"/>
      <c r="D7" s="22" t="s">
        <v>21</v>
      </c>
      <c r="E7" s="22">
        <v>5</v>
      </c>
      <c r="F7" s="23" t="s">
        <v>50</v>
      </c>
    </row>
    <row r="8" spans="2:6" ht="17.350000000000001" customHeight="1" x14ac:dyDescent="0.45">
      <c r="B8" s="21"/>
      <c r="C8" s="153"/>
      <c r="D8" s="22" t="s">
        <v>272</v>
      </c>
      <c r="E8" s="22">
        <v>6</v>
      </c>
      <c r="F8" s="23" t="s">
        <v>172</v>
      </c>
    </row>
    <row r="9" spans="2:6" ht="17.350000000000001" customHeight="1" x14ac:dyDescent="0.45">
      <c r="B9" s="21">
        <v>6</v>
      </c>
      <c r="C9" s="97" t="s">
        <v>22</v>
      </c>
      <c r="D9" s="97" t="s">
        <v>23</v>
      </c>
      <c r="E9" s="24">
        <v>1</v>
      </c>
      <c r="F9" s="19" t="s">
        <v>24</v>
      </c>
    </row>
    <row r="10" spans="2:6" ht="17.350000000000001" customHeight="1" x14ac:dyDescent="0.45">
      <c r="B10" s="21"/>
      <c r="C10" s="97"/>
      <c r="D10" s="97"/>
      <c r="E10" s="24">
        <v>2</v>
      </c>
      <c r="F10" s="23" t="s">
        <v>171</v>
      </c>
    </row>
    <row r="11" spans="2:6" ht="17.350000000000001" customHeight="1" x14ac:dyDescent="0.45">
      <c r="B11" s="21">
        <v>7</v>
      </c>
      <c r="C11" s="97"/>
      <c r="D11" s="97"/>
      <c r="E11" s="24">
        <v>3</v>
      </c>
      <c r="F11" s="19" t="s">
        <v>25</v>
      </c>
    </row>
    <row r="12" spans="2:6" ht="17.350000000000001" customHeight="1" x14ac:dyDescent="0.45">
      <c r="B12" s="21">
        <v>8</v>
      </c>
      <c r="C12" s="97"/>
      <c r="D12" s="97"/>
      <c r="E12" s="24">
        <v>4</v>
      </c>
      <c r="F12" s="19" t="s">
        <v>26</v>
      </c>
    </row>
    <row r="13" spans="2:6" ht="17.350000000000001" customHeight="1" x14ac:dyDescent="0.45">
      <c r="B13" s="21">
        <v>9</v>
      </c>
      <c r="C13" s="97"/>
      <c r="D13" s="97" t="s">
        <v>27</v>
      </c>
      <c r="E13" s="24">
        <v>5</v>
      </c>
      <c r="F13" s="19" t="s">
        <v>28</v>
      </c>
    </row>
    <row r="14" spans="2:6" ht="17.350000000000001" customHeight="1" x14ac:dyDescent="0.45">
      <c r="B14" s="21">
        <v>10</v>
      </c>
      <c r="C14" s="97"/>
      <c r="D14" s="97"/>
      <c r="E14" s="24">
        <v>6</v>
      </c>
      <c r="F14" s="19" t="s">
        <v>29</v>
      </c>
    </row>
    <row r="15" spans="2:6" ht="17.350000000000001" customHeight="1" x14ac:dyDescent="0.45">
      <c r="B15" s="21">
        <v>11</v>
      </c>
      <c r="C15" s="97"/>
      <c r="D15" s="97"/>
      <c r="E15" s="24">
        <v>7</v>
      </c>
      <c r="F15" s="19" t="s">
        <v>30</v>
      </c>
    </row>
    <row r="16" spans="2:6" ht="17.350000000000001" customHeight="1" x14ac:dyDescent="0.45">
      <c r="B16" s="21">
        <v>12</v>
      </c>
      <c r="C16" s="97"/>
      <c r="D16" s="24" t="s">
        <v>31</v>
      </c>
      <c r="E16" s="24">
        <v>8</v>
      </c>
      <c r="F16" s="19" t="s">
        <v>32</v>
      </c>
    </row>
    <row r="17" spans="2:6" ht="17.350000000000001" customHeight="1" x14ac:dyDescent="0.45">
      <c r="B17" s="21">
        <v>13</v>
      </c>
      <c r="C17" s="97"/>
      <c r="D17" s="18" t="s">
        <v>51</v>
      </c>
      <c r="E17" s="24">
        <v>9</v>
      </c>
      <c r="F17" s="23" t="s">
        <v>33</v>
      </c>
    </row>
    <row r="18" spans="2:6" ht="17.350000000000001" customHeight="1" x14ac:dyDescent="0.45">
      <c r="B18" s="21">
        <v>14</v>
      </c>
      <c r="C18" s="97"/>
      <c r="D18" s="24" t="s">
        <v>34</v>
      </c>
      <c r="E18" s="24">
        <v>10</v>
      </c>
      <c r="F18" s="23" t="s">
        <v>35</v>
      </c>
    </row>
    <row r="19" spans="2:6" ht="17.350000000000001" customHeight="1" x14ac:dyDescent="0.45">
      <c r="B19" s="21">
        <v>15</v>
      </c>
      <c r="C19" s="94" t="s">
        <v>36</v>
      </c>
      <c r="D19" s="94" t="s">
        <v>37</v>
      </c>
      <c r="E19" s="25">
        <v>1</v>
      </c>
      <c r="F19" s="19" t="s">
        <v>40</v>
      </c>
    </row>
    <row r="20" spans="2:6" ht="17.350000000000001" customHeight="1" x14ac:dyDescent="0.45">
      <c r="B20" s="21">
        <v>16</v>
      </c>
      <c r="C20" s="94"/>
      <c r="D20" s="94"/>
      <c r="E20" s="25">
        <v>2</v>
      </c>
      <c r="F20" s="19" t="s">
        <v>41</v>
      </c>
    </row>
    <row r="21" spans="2:6" ht="17.350000000000001" customHeight="1" x14ac:dyDescent="0.45">
      <c r="B21" s="21">
        <v>17</v>
      </c>
      <c r="C21" s="94"/>
      <c r="D21" s="94"/>
      <c r="E21" s="25">
        <v>3</v>
      </c>
      <c r="F21" s="19" t="s">
        <v>42</v>
      </c>
    </row>
    <row r="22" spans="2:6" ht="17.350000000000001" customHeight="1" x14ac:dyDescent="0.45">
      <c r="B22" s="21">
        <v>18</v>
      </c>
      <c r="C22" s="94"/>
      <c r="D22" s="94"/>
      <c r="E22" s="25">
        <v>4</v>
      </c>
      <c r="F22" s="19" t="s">
        <v>43</v>
      </c>
    </row>
    <row r="23" spans="2:6" ht="17.350000000000001" customHeight="1" x14ac:dyDescent="0.45">
      <c r="B23" s="21">
        <v>19</v>
      </c>
      <c r="C23" s="94"/>
      <c r="D23" s="94"/>
      <c r="E23" s="25">
        <v>5</v>
      </c>
      <c r="F23" s="19" t="s">
        <v>44</v>
      </c>
    </row>
    <row r="24" spans="2:6" ht="17.350000000000001" customHeight="1" x14ac:dyDescent="0.45">
      <c r="B24" s="21">
        <v>20</v>
      </c>
      <c r="C24" s="94"/>
      <c r="D24" s="94" t="s">
        <v>38</v>
      </c>
      <c r="E24" s="25">
        <v>1</v>
      </c>
      <c r="F24" s="19" t="s">
        <v>45</v>
      </c>
    </row>
    <row r="25" spans="2:6" ht="17.350000000000001" customHeight="1" x14ac:dyDescent="0.45">
      <c r="B25" s="21">
        <v>21</v>
      </c>
      <c r="C25" s="94"/>
      <c r="D25" s="94"/>
      <c r="E25" s="25">
        <v>2</v>
      </c>
      <c r="F25" s="19" t="s">
        <v>49</v>
      </c>
    </row>
    <row r="26" spans="2:6" ht="17.350000000000001" customHeight="1" x14ac:dyDescent="0.45">
      <c r="B26" s="21">
        <v>23</v>
      </c>
      <c r="C26" s="94"/>
      <c r="D26" s="94"/>
      <c r="E26" s="25">
        <v>3</v>
      </c>
      <c r="F26" s="19" t="s">
        <v>46</v>
      </c>
    </row>
    <row r="27" spans="2:6" ht="17.350000000000001" customHeight="1" x14ac:dyDescent="0.45">
      <c r="B27" s="21">
        <v>24</v>
      </c>
      <c r="C27" s="94"/>
      <c r="D27" s="94"/>
      <c r="E27" s="25">
        <v>4</v>
      </c>
      <c r="F27" s="19" t="s">
        <v>47</v>
      </c>
    </row>
    <row r="28" spans="2:6" ht="17.350000000000001" customHeight="1" x14ac:dyDescent="0.45">
      <c r="B28" s="21">
        <v>25</v>
      </c>
      <c r="C28" s="94"/>
      <c r="D28" s="94"/>
      <c r="E28" s="25">
        <v>5</v>
      </c>
      <c r="F28" s="19" t="s">
        <v>48</v>
      </c>
    </row>
    <row r="30" spans="2:6" ht="21.4" customHeight="1" x14ac:dyDescent="0.45">
      <c r="C30" s="17" t="s">
        <v>64</v>
      </c>
      <c r="D30" s="16"/>
    </row>
    <row r="31" spans="2:6" ht="21.75" customHeight="1" x14ac:dyDescent="0.45">
      <c r="C31" s="95" t="s">
        <v>63</v>
      </c>
      <c r="D31" s="95"/>
    </row>
  </sheetData>
  <mergeCells count="9">
    <mergeCell ref="D19:D23"/>
    <mergeCell ref="C31:D31"/>
    <mergeCell ref="D4:D5"/>
    <mergeCell ref="D9:D12"/>
    <mergeCell ref="D13:D15"/>
    <mergeCell ref="C9:C18"/>
    <mergeCell ref="C19:C28"/>
    <mergeCell ref="D24:D28"/>
    <mergeCell ref="C3:C8"/>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3419-2FBB-4134-AE99-2696D3788B25}">
  <dimension ref="B2:J14"/>
  <sheetViews>
    <sheetView zoomScale="85" zoomScaleNormal="85" workbookViewId="0">
      <selection activeCell="J4" sqref="J4"/>
    </sheetView>
  </sheetViews>
  <sheetFormatPr defaultRowHeight="14.25" x14ac:dyDescent="0.45"/>
  <cols>
    <col min="1" max="1" width="1.3984375" customWidth="1"/>
    <col min="2" max="2" width="10" customWidth="1"/>
    <col min="3" max="3" width="22.33203125" customWidth="1"/>
    <col min="4" max="4" width="24.46484375" customWidth="1"/>
    <col min="5" max="6" width="33.59765625" customWidth="1"/>
    <col min="7" max="7" width="18.06640625" style="28" customWidth="1"/>
    <col min="8" max="8" width="19.33203125" customWidth="1"/>
    <col min="9" max="9" width="20.265625" customWidth="1"/>
    <col min="10" max="10" width="33.73046875" customWidth="1"/>
  </cols>
  <sheetData>
    <row r="2" spans="2:10" ht="67.150000000000006" customHeight="1" x14ac:dyDescent="0.45">
      <c r="B2" s="65" t="s">
        <v>77</v>
      </c>
      <c r="C2" s="66" t="s">
        <v>2</v>
      </c>
      <c r="D2" s="66" t="s">
        <v>3</v>
      </c>
      <c r="E2" s="66" t="s">
        <v>4</v>
      </c>
      <c r="F2" s="66" t="s">
        <v>5</v>
      </c>
      <c r="G2" s="67" t="s">
        <v>6</v>
      </c>
      <c r="H2" s="68" t="s">
        <v>7</v>
      </c>
      <c r="I2" s="68" t="s">
        <v>8</v>
      </c>
      <c r="J2" s="67" t="s">
        <v>9</v>
      </c>
    </row>
    <row r="3" spans="2:10" ht="29.75" customHeight="1" x14ac:dyDescent="0.45">
      <c r="B3" s="69">
        <v>1</v>
      </c>
      <c r="C3" s="128" t="s">
        <v>186</v>
      </c>
      <c r="D3" s="128"/>
      <c r="E3" s="128"/>
      <c r="F3" s="128"/>
      <c r="G3" s="128"/>
      <c r="H3" s="128"/>
      <c r="I3" s="128"/>
      <c r="J3" s="128"/>
    </row>
    <row r="4" spans="2:10" ht="328.15" customHeight="1" x14ac:dyDescent="0.45">
      <c r="B4" s="21"/>
      <c r="C4" s="62" t="s">
        <v>173</v>
      </c>
      <c r="D4" s="63" t="s">
        <v>174</v>
      </c>
      <c r="E4" s="62" t="s">
        <v>175</v>
      </c>
      <c r="F4" s="64" t="s">
        <v>176</v>
      </c>
      <c r="G4" s="21" t="s">
        <v>91</v>
      </c>
      <c r="H4" s="19"/>
      <c r="I4" s="19"/>
      <c r="J4" s="19"/>
    </row>
    <row r="5" spans="2:10" ht="29.75" customHeight="1" x14ac:dyDescent="0.45">
      <c r="B5" s="69">
        <v>2</v>
      </c>
      <c r="C5" s="129" t="s">
        <v>185</v>
      </c>
      <c r="D5" s="129"/>
      <c r="E5" s="129"/>
      <c r="F5" s="129"/>
      <c r="G5" s="129"/>
      <c r="H5" s="129"/>
      <c r="I5" s="129"/>
      <c r="J5" s="129"/>
    </row>
    <row r="6" spans="2:10" ht="196.5" customHeight="1" x14ac:dyDescent="0.45">
      <c r="B6" s="21"/>
      <c r="C6" s="64" t="s">
        <v>177</v>
      </c>
      <c r="D6" s="64" t="s">
        <v>178</v>
      </c>
      <c r="E6" s="64" t="s">
        <v>179</v>
      </c>
      <c r="F6" s="62" t="s">
        <v>180</v>
      </c>
      <c r="G6" s="21" t="s">
        <v>91</v>
      </c>
      <c r="H6" s="19"/>
      <c r="I6" s="19"/>
      <c r="J6" s="19"/>
    </row>
    <row r="7" spans="2:10" ht="29.75" customHeight="1" x14ac:dyDescent="0.45">
      <c r="B7" s="69">
        <v>3</v>
      </c>
      <c r="C7" s="125" t="s">
        <v>255</v>
      </c>
      <c r="D7" s="126"/>
      <c r="E7" s="126"/>
      <c r="F7" s="126"/>
      <c r="G7" s="126"/>
      <c r="H7" s="126"/>
      <c r="I7" s="126"/>
      <c r="J7" s="127"/>
    </row>
    <row r="8" spans="2:10" ht="217.5" customHeight="1" x14ac:dyDescent="0.45">
      <c r="B8" s="21"/>
      <c r="C8" s="64" t="s">
        <v>181</v>
      </c>
      <c r="D8" s="64" t="s">
        <v>182</v>
      </c>
      <c r="E8" s="64" t="s">
        <v>183</v>
      </c>
      <c r="F8" s="64" t="s">
        <v>184</v>
      </c>
      <c r="G8" s="21" t="s">
        <v>91</v>
      </c>
      <c r="H8" s="19"/>
      <c r="I8" s="19"/>
      <c r="J8" s="19"/>
    </row>
    <row r="9" spans="2:10" ht="29.75" customHeight="1" x14ac:dyDescent="0.45">
      <c r="B9" s="69">
        <v>4</v>
      </c>
      <c r="C9" s="125" t="s">
        <v>187</v>
      </c>
      <c r="D9" s="126"/>
      <c r="E9" s="126"/>
      <c r="F9" s="126"/>
      <c r="G9" s="126"/>
      <c r="H9" s="126"/>
      <c r="I9" s="126"/>
      <c r="J9" s="127"/>
    </row>
    <row r="10" spans="2:10" ht="213" customHeight="1" x14ac:dyDescent="0.45">
      <c r="B10" s="21"/>
      <c r="C10" s="62" t="s">
        <v>188</v>
      </c>
      <c r="D10" s="62" t="s">
        <v>189</v>
      </c>
      <c r="E10" s="62" t="s">
        <v>190</v>
      </c>
      <c r="F10" s="62" t="s">
        <v>191</v>
      </c>
      <c r="G10" s="21" t="s">
        <v>91</v>
      </c>
      <c r="H10" s="19"/>
      <c r="I10" s="19"/>
      <c r="J10" s="19"/>
    </row>
    <row r="11" spans="2:10" ht="29.75" customHeight="1" x14ac:dyDescent="0.45">
      <c r="B11" s="69">
        <v>5</v>
      </c>
      <c r="C11" s="125" t="s">
        <v>192</v>
      </c>
      <c r="D11" s="126"/>
      <c r="E11" s="126"/>
      <c r="F11" s="126"/>
      <c r="G11" s="126"/>
      <c r="H11" s="126"/>
      <c r="I11" s="126"/>
      <c r="J11" s="127"/>
    </row>
    <row r="12" spans="2:10" ht="190.5" customHeight="1" x14ac:dyDescent="0.45">
      <c r="B12" s="19"/>
      <c r="C12" s="62" t="s">
        <v>193</v>
      </c>
      <c r="D12" s="62" t="s">
        <v>194</v>
      </c>
      <c r="E12" s="62" t="s">
        <v>195</v>
      </c>
      <c r="F12" s="62" t="s">
        <v>196</v>
      </c>
      <c r="G12" s="21" t="s">
        <v>91</v>
      </c>
      <c r="H12" s="19"/>
      <c r="I12" s="19"/>
      <c r="J12" s="19"/>
    </row>
    <row r="13" spans="2:10" ht="29.75" customHeight="1" x14ac:dyDescent="0.45">
      <c r="B13" s="69">
        <v>6</v>
      </c>
      <c r="C13" s="125" t="s">
        <v>242</v>
      </c>
      <c r="D13" s="126"/>
      <c r="E13" s="126"/>
      <c r="F13" s="126"/>
      <c r="G13" s="126"/>
      <c r="H13" s="126"/>
      <c r="I13" s="126"/>
      <c r="J13" s="127"/>
    </row>
    <row r="14" spans="2:10" ht="180" x14ac:dyDescent="0.45">
      <c r="B14" s="19"/>
      <c r="C14" s="62" t="s">
        <v>243</v>
      </c>
      <c r="D14" s="62" t="s">
        <v>244</v>
      </c>
      <c r="E14" s="62" t="s">
        <v>245</v>
      </c>
      <c r="F14" s="62" t="s">
        <v>246</v>
      </c>
      <c r="G14" s="21" t="s">
        <v>91</v>
      </c>
      <c r="H14" s="19"/>
      <c r="I14" s="19"/>
      <c r="J14" s="19"/>
    </row>
  </sheetData>
  <mergeCells count="6">
    <mergeCell ref="C13:J13"/>
    <mergeCell ref="C3:J3"/>
    <mergeCell ref="C5:J5"/>
    <mergeCell ref="C7:J7"/>
    <mergeCell ref="C9:J9"/>
    <mergeCell ref="C11:J11"/>
  </mergeCells>
  <dataValidations count="1">
    <dataValidation type="list" allowBlank="1" showInputMessage="1" showErrorMessage="1" sqref="G4 G6 G8 G10 G12 G14" xr:uid="{95947C0F-9032-40AF-8143-F3F7B24D9B5F}">
      <formula1>"SANGAT BAIK,BAIK,KURANG,SANGAT KURANG"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1C2A-CEC1-4297-AC6A-AB522C59756B}">
  <dimension ref="B2:J22"/>
  <sheetViews>
    <sheetView topLeftCell="B19" zoomScale="70" zoomScaleNormal="70" workbookViewId="0">
      <selection activeCell="C21" sqref="C21:J21"/>
    </sheetView>
  </sheetViews>
  <sheetFormatPr defaultRowHeight="14.25" x14ac:dyDescent="0.45"/>
  <cols>
    <col min="1" max="1" width="1.3984375" customWidth="1"/>
    <col min="2" max="2" width="9.33203125" customWidth="1"/>
    <col min="3" max="3" width="21.86328125" customWidth="1"/>
    <col min="4" max="4" width="27.86328125" customWidth="1"/>
    <col min="5" max="5" width="32.3984375" customWidth="1"/>
    <col min="6" max="6" width="37" customWidth="1"/>
    <col min="7" max="7" width="14.3984375" style="28" customWidth="1"/>
    <col min="8" max="8" width="19.33203125" customWidth="1"/>
    <col min="9" max="9" width="20.265625" customWidth="1"/>
    <col min="10" max="10" width="33.73046875" customWidth="1"/>
  </cols>
  <sheetData>
    <row r="2" spans="2:10" ht="67.150000000000006" customHeight="1" x14ac:dyDescent="0.45">
      <c r="B2" s="65" t="s">
        <v>77</v>
      </c>
      <c r="C2" s="75" t="s">
        <v>2</v>
      </c>
      <c r="D2" s="75" t="s">
        <v>3</v>
      </c>
      <c r="E2" s="75" t="s">
        <v>4</v>
      </c>
      <c r="F2" s="75" t="s">
        <v>5</v>
      </c>
      <c r="G2" s="76" t="s">
        <v>6</v>
      </c>
      <c r="H2" s="77" t="s">
        <v>7</v>
      </c>
      <c r="I2" s="77" t="s">
        <v>8</v>
      </c>
      <c r="J2" s="76" t="s">
        <v>9</v>
      </c>
    </row>
    <row r="3" spans="2:10" ht="29.35" customHeight="1" x14ac:dyDescent="0.45">
      <c r="B3" s="69">
        <v>7</v>
      </c>
      <c r="C3" s="136" t="s">
        <v>259</v>
      </c>
      <c r="D3" s="137"/>
      <c r="E3" s="137"/>
      <c r="F3" s="137"/>
      <c r="G3" s="137"/>
      <c r="H3" s="137"/>
      <c r="I3" s="137"/>
      <c r="J3" s="137"/>
    </row>
    <row r="4" spans="2:10" ht="234" customHeight="1" x14ac:dyDescent="0.45">
      <c r="B4" s="21"/>
      <c r="C4" s="71" t="s">
        <v>197</v>
      </c>
      <c r="D4" s="78" t="s">
        <v>198</v>
      </c>
      <c r="E4" s="15" t="s">
        <v>199</v>
      </c>
      <c r="F4" s="15" t="s">
        <v>200</v>
      </c>
      <c r="G4" s="21" t="s">
        <v>91</v>
      </c>
      <c r="H4" s="79"/>
      <c r="I4" s="79"/>
      <c r="J4" s="79"/>
    </row>
    <row r="5" spans="2:10" ht="29.35" customHeight="1" x14ac:dyDescent="0.45">
      <c r="B5" s="69">
        <v>8</v>
      </c>
      <c r="C5" s="136" t="s">
        <v>201</v>
      </c>
      <c r="D5" s="137"/>
      <c r="E5" s="137"/>
      <c r="F5" s="137"/>
      <c r="G5" s="137"/>
      <c r="H5" s="137"/>
      <c r="I5" s="137"/>
      <c r="J5" s="137"/>
    </row>
    <row r="6" spans="2:10" ht="150" x14ac:dyDescent="0.45">
      <c r="B6" s="21"/>
      <c r="C6" s="71" t="s">
        <v>247</v>
      </c>
      <c r="D6" s="78" t="s">
        <v>248</v>
      </c>
      <c r="E6" s="15" t="s">
        <v>249</v>
      </c>
      <c r="F6" s="15" t="s">
        <v>250</v>
      </c>
      <c r="G6" s="21" t="s">
        <v>91</v>
      </c>
      <c r="H6" s="79"/>
      <c r="I6" s="79"/>
      <c r="J6" s="79"/>
    </row>
    <row r="7" spans="2:10" ht="29.35" customHeight="1" x14ac:dyDescent="0.45">
      <c r="B7" s="69">
        <v>9</v>
      </c>
      <c r="C7" s="130" t="s">
        <v>202</v>
      </c>
      <c r="D7" s="131"/>
      <c r="E7" s="131"/>
      <c r="F7" s="131"/>
      <c r="G7" s="131"/>
      <c r="H7" s="131"/>
      <c r="I7" s="131"/>
      <c r="J7" s="132"/>
    </row>
    <row r="8" spans="2:10" ht="121.5" x14ac:dyDescent="0.45">
      <c r="B8" s="21"/>
      <c r="C8" s="80" t="s">
        <v>203</v>
      </c>
      <c r="D8" s="80" t="s">
        <v>204</v>
      </c>
      <c r="E8" s="80" t="s">
        <v>205</v>
      </c>
      <c r="F8" s="80" t="s">
        <v>206</v>
      </c>
      <c r="G8" s="21" t="s">
        <v>91</v>
      </c>
      <c r="H8" s="79"/>
      <c r="I8" s="79"/>
      <c r="J8" s="79"/>
    </row>
    <row r="9" spans="2:10" ht="29.35" customHeight="1" x14ac:dyDescent="0.45">
      <c r="B9" s="69">
        <v>10</v>
      </c>
      <c r="C9" s="130" t="s">
        <v>207</v>
      </c>
      <c r="D9" s="131"/>
      <c r="E9" s="131"/>
      <c r="F9" s="131"/>
      <c r="G9" s="131"/>
      <c r="H9" s="131"/>
      <c r="I9" s="131"/>
      <c r="J9" s="132"/>
    </row>
    <row r="10" spans="2:10" ht="121.5" x14ac:dyDescent="0.45">
      <c r="B10" s="21"/>
      <c r="C10" s="80" t="s">
        <v>208</v>
      </c>
      <c r="D10" s="80" t="s">
        <v>209</v>
      </c>
      <c r="E10" s="80" t="s">
        <v>210</v>
      </c>
      <c r="F10" s="80" t="s">
        <v>211</v>
      </c>
      <c r="G10" s="21" t="s">
        <v>91</v>
      </c>
      <c r="H10" s="79"/>
      <c r="I10" s="79"/>
      <c r="J10" s="79"/>
    </row>
    <row r="11" spans="2:10" ht="29.35" customHeight="1" x14ac:dyDescent="0.45">
      <c r="B11" s="69">
        <v>11</v>
      </c>
      <c r="C11" s="133" t="s">
        <v>212</v>
      </c>
      <c r="D11" s="134"/>
      <c r="E11" s="134"/>
      <c r="F11" s="134"/>
      <c r="G11" s="134"/>
      <c r="H11" s="134"/>
      <c r="I11" s="134"/>
      <c r="J11" s="135"/>
    </row>
    <row r="12" spans="2:10" ht="121.5" x14ac:dyDescent="0.45">
      <c r="B12" s="21"/>
      <c r="C12" s="80" t="s">
        <v>213</v>
      </c>
      <c r="D12" s="80" t="s">
        <v>214</v>
      </c>
      <c r="E12" s="80" t="s">
        <v>215</v>
      </c>
      <c r="F12" s="80" t="s">
        <v>216</v>
      </c>
      <c r="G12" s="21" t="s">
        <v>91</v>
      </c>
      <c r="H12" s="79"/>
      <c r="I12" s="79"/>
      <c r="J12" s="79"/>
    </row>
    <row r="13" spans="2:10" ht="29.35" customHeight="1" x14ac:dyDescent="0.45">
      <c r="B13" s="69">
        <v>12</v>
      </c>
      <c r="C13" s="130" t="s">
        <v>217</v>
      </c>
      <c r="D13" s="131"/>
      <c r="E13" s="131"/>
      <c r="F13" s="131"/>
      <c r="G13" s="131"/>
      <c r="H13" s="131"/>
      <c r="I13" s="131"/>
      <c r="J13" s="132"/>
    </row>
    <row r="14" spans="2:10" ht="121.5" x14ac:dyDescent="0.45">
      <c r="B14" s="21"/>
      <c r="C14" s="80" t="s">
        <v>218</v>
      </c>
      <c r="D14" s="80" t="s">
        <v>222</v>
      </c>
      <c r="E14" s="80" t="s">
        <v>219</v>
      </c>
      <c r="F14" s="80" t="s">
        <v>220</v>
      </c>
      <c r="G14" s="21" t="s">
        <v>91</v>
      </c>
      <c r="H14" s="79"/>
      <c r="I14" s="79"/>
      <c r="J14" s="79"/>
    </row>
    <row r="15" spans="2:10" ht="29.35" customHeight="1" x14ac:dyDescent="0.45">
      <c r="B15" s="81">
        <v>13</v>
      </c>
      <c r="C15" s="130" t="s">
        <v>221</v>
      </c>
      <c r="D15" s="131"/>
      <c r="E15" s="131"/>
      <c r="F15" s="131"/>
      <c r="G15" s="131"/>
      <c r="H15" s="131"/>
      <c r="I15" s="131"/>
      <c r="J15" s="132"/>
    </row>
    <row r="16" spans="2:10" ht="135" x14ac:dyDescent="0.45">
      <c r="B16" s="82"/>
      <c r="C16" s="80" t="s">
        <v>223</v>
      </c>
      <c r="D16" s="80" t="s">
        <v>224</v>
      </c>
      <c r="E16" s="80" t="s">
        <v>225</v>
      </c>
      <c r="F16" s="80" t="s">
        <v>226</v>
      </c>
      <c r="G16" s="21" t="s">
        <v>91</v>
      </c>
      <c r="H16" s="79"/>
      <c r="I16" s="79"/>
      <c r="J16" s="79"/>
    </row>
    <row r="17" spans="2:10" ht="29.35" customHeight="1" x14ac:dyDescent="0.45">
      <c r="B17" s="81">
        <v>14</v>
      </c>
      <c r="C17" s="130" t="s">
        <v>227</v>
      </c>
      <c r="D17" s="131"/>
      <c r="E17" s="131"/>
      <c r="F17" s="131"/>
      <c r="G17" s="131"/>
      <c r="H17" s="131"/>
      <c r="I17" s="131"/>
      <c r="J17" s="132"/>
    </row>
    <row r="18" spans="2:10" ht="121.5" x14ac:dyDescent="0.45">
      <c r="B18" s="82"/>
      <c r="C18" s="78" t="s">
        <v>228</v>
      </c>
      <c r="D18" s="78" t="s">
        <v>229</v>
      </c>
      <c r="E18" s="78" t="s">
        <v>230</v>
      </c>
      <c r="F18" s="78" t="s">
        <v>231</v>
      </c>
      <c r="G18" s="21" t="s">
        <v>91</v>
      </c>
      <c r="H18" s="79"/>
      <c r="I18" s="79"/>
      <c r="J18" s="79"/>
    </row>
    <row r="19" spans="2:10" ht="29.35" customHeight="1" x14ac:dyDescent="0.45">
      <c r="B19" s="81">
        <v>15</v>
      </c>
      <c r="C19" s="130" t="s">
        <v>232</v>
      </c>
      <c r="D19" s="131"/>
      <c r="E19" s="131"/>
      <c r="F19" s="131"/>
      <c r="G19" s="131"/>
      <c r="H19" s="131"/>
      <c r="I19" s="131"/>
      <c r="J19" s="132"/>
    </row>
    <row r="20" spans="2:10" ht="154.15" customHeight="1" x14ac:dyDescent="0.45">
      <c r="B20" s="82"/>
      <c r="C20" s="91" t="s">
        <v>233</v>
      </c>
      <c r="D20" s="91" t="s">
        <v>234</v>
      </c>
      <c r="E20" s="91" t="s">
        <v>235</v>
      </c>
      <c r="F20" s="91" t="s">
        <v>236</v>
      </c>
      <c r="G20" s="21" t="s">
        <v>91</v>
      </c>
      <c r="H20" s="79"/>
      <c r="I20" s="79"/>
      <c r="J20" s="79"/>
    </row>
    <row r="21" spans="2:10" ht="29.35" customHeight="1" x14ac:dyDescent="0.45">
      <c r="B21" s="81">
        <v>16</v>
      </c>
      <c r="C21" s="133" t="s">
        <v>237</v>
      </c>
      <c r="D21" s="134"/>
      <c r="E21" s="134"/>
      <c r="F21" s="134"/>
      <c r="G21" s="134"/>
      <c r="H21" s="134"/>
      <c r="I21" s="134"/>
      <c r="J21" s="135"/>
    </row>
    <row r="22" spans="2:10" ht="148.5" customHeight="1" x14ac:dyDescent="0.45">
      <c r="B22" s="79"/>
      <c r="C22" s="91" t="s">
        <v>238</v>
      </c>
      <c r="D22" s="91" t="s">
        <v>239</v>
      </c>
      <c r="E22" s="91" t="s">
        <v>240</v>
      </c>
      <c r="F22" s="91" t="s">
        <v>241</v>
      </c>
      <c r="G22" s="21" t="s">
        <v>91</v>
      </c>
      <c r="H22" s="79"/>
      <c r="I22" s="79"/>
      <c r="J22" s="79"/>
    </row>
  </sheetData>
  <mergeCells count="10">
    <mergeCell ref="C15:J15"/>
    <mergeCell ref="C17:J17"/>
    <mergeCell ref="C19:J19"/>
    <mergeCell ref="C21:J21"/>
    <mergeCell ref="C3:J3"/>
    <mergeCell ref="C7:J7"/>
    <mergeCell ref="C9:J9"/>
    <mergeCell ref="C13:J13"/>
    <mergeCell ref="C11:J11"/>
    <mergeCell ref="C5:J5"/>
  </mergeCells>
  <dataValidations count="1">
    <dataValidation type="list" allowBlank="1" showInputMessage="1" showErrorMessage="1" sqref="G22 G8 G14 G12 G10 G18 G16 G20 G4 G6" xr:uid="{64E74AD1-BCC0-405A-9825-2AE5D3D95A90}">
      <formula1>"SANGAT BAIK,BAIK,KURANG,SANGAT KURANG"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3B36-88BE-4F88-A3C4-AEF19A0FA32E}">
  <dimension ref="B2:J22"/>
  <sheetViews>
    <sheetView zoomScale="85" zoomScaleNormal="85" workbookViewId="0">
      <selection activeCell="E22" sqref="E22"/>
    </sheetView>
  </sheetViews>
  <sheetFormatPr defaultRowHeight="14.25" x14ac:dyDescent="0.45"/>
  <cols>
    <col min="1" max="1" width="1.3984375" customWidth="1"/>
    <col min="2" max="2" width="9.33203125" customWidth="1"/>
    <col min="3" max="3" width="29.06640625" customWidth="1"/>
    <col min="4" max="4" width="30.796875" customWidth="1"/>
    <col min="5" max="5" width="32.3984375" customWidth="1"/>
    <col min="6" max="6" width="33.9296875" customWidth="1"/>
    <col min="7" max="7" width="14.3984375" style="28" customWidth="1"/>
    <col min="8" max="8" width="19.33203125" customWidth="1"/>
    <col min="9" max="9" width="20.265625" customWidth="1"/>
    <col min="10" max="10" width="33.73046875" customWidth="1"/>
  </cols>
  <sheetData>
    <row r="2" spans="2:10" ht="67.150000000000006" customHeight="1" x14ac:dyDescent="0.45">
      <c r="B2" s="65" t="s">
        <v>77</v>
      </c>
      <c r="C2" s="66" t="s">
        <v>2</v>
      </c>
      <c r="D2" s="66" t="s">
        <v>3</v>
      </c>
      <c r="E2" s="66" t="s">
        <v>4</v>
      </c>
      <c r="F2" s="66" t="s">
        <v>5</v>
      </c>
      <c r="G2" s="67" t="s">
        <v>6</v>
      </c>
      <c r="H2" s="68" t="s">
        <v>7</v>
      </c>
      <c r="I2" s="68" t="s">
        <v>8</v>
      </c>
      <c r="J2" s="67" t="s">
        <v>9</v>
      </c>
    </row>
    <row r="3" spans="2:10" ht="29.35" customHeight="1" x14ac:dyDescent="0.45">
      <c r="B3" s="69">
        <v>15</v>
      </c>
      <c r="C3" s="138" t="s">
        <v>98</v>
      </c>
      <c r="D3" s="138"/>
      <c r="E3" s="138"/>
      <c r="F3" s="138"/>
      <c r="G3" s="138"/>
      <c r="H3" s="138"/>
      <c r="I3" s="138"/>
      <c r="J3" s="138"/>
    </row>
    <row r="4" spans="2:10" ht="279" customHeight="1" x14ac:dyDescent="0.45">
      <c r="B4" s="21"/>
      <c r="C4" s="71" t="s">
        <v>99</v>
      </c>
      <c r="D4" s="64" t="s">
        <v>100</v>
      </c>
      <c r="E4" s="15" t="s">
        <v>101</v>
      </c>
      <c r="F4" s="15" t="s">
        <v>102</v>
      </c>
      <c r="G4" s="21" t="s">
        <v>91</v>
      </c>
      <c r="H4" s="19"/>
      <c r="I4" s="19"/>
      <c r="J4" s="19"/>
    </row>
    <row r="5" spans="2:10" ht="29.35" customHeight="1" x14ac:dyDescent="0.45">
      <c r="B5" s="69">
        <v>16</v>
      </c>
      <c r="C5" s="125" t="s">
        <v>103</v>
      </c>
      <c r="D5" s="126"/>
      <c r="E5" s="126"/>
      <c r="F5" s="126"/>
      <c r="G5" s="126"/>
      <c r="H5" s="126"/>
      <c r="I5" s="126"/>
      <c r="J5" s="127"/>
    </row>
    <row r="6" spans="2:10" ht="279.39999999999998" customHeight="1" x14ac:dyDescent="0.45">
      <c r="B6" s="21"/>
      <c r="C6" s="62" t="s">
        <v>104</v>
      </c>
      <c r="D6" s="62" t="s">
        <v>105</v>
      </c>
      <c r="E6" s="62" t="s">
        <v>106</v>
      </c>
      <c r="F6" s="62" t="s">
        <v>107</v>
      </c>
      <c r="G6" s="21" t="s">
        <v>91</v>
      </c>
      <c r="H6" s="19"/>
      <c r="I6" s="19"/>
      <c r="J6" s="19"/>
    </row>
    <row r="7" spans="2:10" ht="29.35" customHeight="1" x14ac:dyDescent="0.45">
      <c r="B7" s="69">
        <v>17</v>
      </c>
      <c r="C7" s="125" t="s">
        <v>108</v>
      </c>
      <c r="D7" s="126"/>
      <c r="E7" s="126"/>
      <c r="F7" s="126"/>
      <c r="G7" s="126"/>
      <c r="H7" s="126"/>
      <c r="I7" s="126"/>
      <c r="J7" s="127"/>
    </row>
    <row r="8" spans="2:10" ht="297" customHeight="1" x14ac:dyDescent="0.45">
      <c r="B8" s="21"/>
      <c r="C8" s="62" t="s">
        <v>109</v>
      </c>
      <c r="D8" s="62" t="s">
        <v>110</v>
      </c>
      <c r="E8" s="62" t="s">
        <v>111</v>
      </c>
      <c r="F8" s="62" t="s">
        <v>112</v>
      </c>
      <c r="G8" s="21" t="s">
        <v>91</v>
      </c>
      <c r="H8" s="19"/>
      <c r="I8" s="19"/>
      <c r="J8" s="19"/>
    </row>
    <row r="9" spans="2:10" ht="29.35" customHeight="1" x14ac:dyDescent="0.45">
      <c r="B9" s="69">
        <v>18</v>
      </c>
      <c r="C9" s="139" t="s">
        <v>113</v>
      </c>
      <c r="D9" s="140"/>
      <c r="E9" s="140"/>
      <c r="F9" s="140"/>
      <c r="G9" s="140"/>
      <c r="H9" s="140"/>
      <c r="I9" s="140"/>
      <c r="J9" s="141"/>
    </row>
    <row r="10" spans="2:10" ht="264.75" customHeight="1" x14ac:dyDescent="0.45">
      <c r="B10" s="21"/>
      <c r="C10" s="62" t="s">
        <v>114</v>
      </c>
      <c r="D10" s="62" t="s">
        <v>115</v>
      </c>
      <c r="E10" s="62" t="s">
        <v>116</v>
      </c>
      <c r="F10" s="62" t="s">
        <v>117</v>
      </c>
      <c r="G10" s="21" t="s">
        <v>91</v>
      </c>
      <c r="H10" s="19"/>
      <c r="I10" s="19"/>
      <c r="J10" s="19"/>
    </row>
    <row r="11" spans="2:10" ht="29.35" customHeight="1" x14ac:dyDescent="0.45">
      <c r="B11" s="69">
        <v>19</v>
      </c>
      <c r="C11" s="125" t="s">
        <v>118</v>
      </c>
      <c r="D11" s="126"/>
      <c r="E11" s="126"/>
      <c r="F11" s="126"/>
      <c r="G11" s="126"/>
      <c r="H11" s="126"/>
      <c r="I11" s="126"/>
      <c r="J11" s="127"/>
    </row>
    <row r="12" spans="2:10" ht="263.64999999999998" customHeight="1" x14ac:dyDescent="0.45">
      <c r="B12" s="21"/>
      <c r="C12" s="62" t="s">
        <v>119</v>
      </c>
      <c r="D12" s="62" t="s">
        <v>120</v>
      </c>
      <c r="E12" s="62" t="s">
        <v>121</v>
      </c>
      <c r="F12" s="62" t="s">
        <v>122</v>
      </c>
      <c r="G12" s="21" t="s">
        <v>91</v>
      </c>
      <c r="H12" s="19"/>
      <c r="I12" s="19"/>
      <c r="J12" s="19"/>
    </row>
    <row r="13" spans="2:10" ht="29.35" customHeight="1" x14ac:dyDescent="0.45">
      <c r="B13" s="69">
        <v>20</v>
      </c>
      <c r="C13" s="125" t="s">
        <v>134</v>
      </c>
      <c r="D13" s="126"/>
      <c r="E13" s="126"/>
      <c r="F13" s="126"/>
      <c r="G13" s="126"/>
      <c r="H13" s="126"/>
      <c r="I13" s="126"/>
      <c r="J13" s="127"/>
    </row>
    <row r="14" spans="2:10" ht="278.64999999999998" customHeight="1" x14ac:dyDescent="0.45">
      <c r="B14" s="20"/>
      <c r="C14" s="83" t="s">
        <v>133</v>
      </c>
      <c r="D14" s="83" t="s">
        <v>132</v>
      </c>
      <c r="E14" s="83" t="s">
        <v>131</v>
      </c>
      <c r="F14" s="83" t="s">
        <v>130</v>
      </c>
      <c r="G14" s="21" t="s">
        <v>91</v>
      </c>
      <c r="H14" s="19"/>
      <c r="I14" s="19"/>
      <c r="J14" s="19"/>
    </row>
    <row r="15" spans="2:10" ht="29.35" customHeight="1" x14ac:dyDescent="0.45">
      <c r="B15" s="69">
        <v>21</v>
      </c>
      <c r="C15" s="125" t="s">
        <v>136</v>
      </c>
      <c r="D15" s="126"/>
      <c r="E15" s="126"/>
      <c r="F15" s="126"/>
      <c r="G15" s="126"/>
      <c r="H15" s="126"/>
      <c r="I15" s="126"/>
      <c r="J15" s="127"/>
    </row>
    <row r="16" spans="2:10" ht="249.4" customHeight="1" x14ac:dyDescent="0.45">
      <c r="B16" s="20"/>
      <c r="C16" s="84" t="s">
        <v>139</v>
      </c>
      <c r="D16" s="84" t="s">
        <v>138</v>
      </c>
      <c r="E16" s="84" t="s">
        <v>137</v>
      </c>
      <c r="F16" s="84" t="s">
        <v>135</v>
      </c>
      <c r="G16" s="85" t="s">
        <v>91</v>
      </c>
      <c r="H16" s="86"/>
      <c r="I16" s="86"/>
      <c r="J16" s="86"/>
    </row>
    <row r="17" spans="2:10" ht="28.9" customHeight="1" x14ac:dyDescent="0.45">
      <c r="B17" s="69">
        <v>22</v>
      </c>
      <c r="C17" s="142" t="s">
        <v>154</v>
      </c>
      <c r="D17" s="143"/>
      <c r="E17" s="143"/>
      <c r="F17" s="143"/>
      <c r="G17" s="143"/>
      <c r="H17" s="143"/>
      <c r="I17" s="143"/>
      <c r="J17" s="144"/>
    </row>
    <row r="18" spans="2:10" ht="217.5" customHeight="1" x14ac:dyDescent="0.45">
      <c r="B18" s="72"/>
      <c r="C18" s="84" t="s">
        <v>143</v>
      </c>
      <c r="D18" s="84" t="s">
        <v>142</v>
      </c>
      <c r="E18" s="84" t="s">
        <v>141</v>
      </c>
      <c r="F18" s="84" t="s">
        <v>140</v>
      </c>
      <c r="G18" s="85" t="s">
        <v>91</v>
      </c>
      <c r="H18" s="86"/>
      <c r="I18" s="86"/>
      <c r="J18" s="86"/>
    </row>
    <row r="19" spans="2:10" ht="28.9" customHeight="1" x14ac:dyDescent="0.45">
      <c r="B19" s="69">
        <v>23</v>
      </c>
      <c r="C19" s="125" t="s">
        <v>152</v>
      </c>
      <c r="D19" s="126"/>
      <c r="E19" s="126"/>
      <c r="F19" s="126"/>
      <c r="G19" s="126"/>
      <c r="H19" s="126"/>
      <c r="I19" s="126"/>
      <c r="J19" s="127"/>
    </row>
    <row r="20" spans="2:10" ht="249.75" customHeight="1" x14ac:dyDescent="0.45">
      <c r="B20" s="20"/>
      <c r="C20" s="64" t="s">
        <v>147</v>
      </c>
      <c r="D20" s="64" t="s">
        <v>146</v>
      </c>
      <c r="E20" s="64" t="s">
        <v>145</v>
      </c>
      <c r="F20" s="64" t="s">
        <v>144</v>
      </c>
      <c r="G20" s="21" t="s">
        <v>91</v>
      </c>
      <c r="H20" s="19"/>
      <c r="I20" s="19"/>
      <c r="J20" s="19"/>
    </row>
    <row r="21" spans="2:10" ht="28.9" customHeight="1" x14ac:dyDescent="0.45">
      <c r="B21" s="69">
        <v>24</v>
      </c>
      <c r="C21" s="125" t="s">
        <v>153</v>
      </c>
      <c r="D21" s="126"/>
      <c r="E21" s="126"/>
      <c r="F21" s="126"/>
      <c r="G21" s="126"/>
      <c r="H21" s="126"/>
      <c r="I21" s="126"/>
      <c r="J21" s="127"/>
    </row>
    <row r="22" spans="2:10" ht="221.65" customHeight="1" x14ac:dyDescent="0.45">
      <c r="B22" s="70"/>
      <c r="C22" s="64" t="s">
        <v>151</v>
      </c>
      <c r="D22" s="64" t="s">
        <v>150</v>
      </c>
      <c r="E22" s="64" t="s">
        <v>149</v>
      </c>
      <c r="F22" s="64" t="s">
        <v>148</v>
      </c>
      <c r="G22" s="21" t="s">
        <v>91</v>
      </c>
      <c r="H22" s="19"/>
      <c r="I22" s="19"/>
      <c r="J22" s="19"/>
    </row>
  </sheetData>
  <mergeCells count="10">
    <mergeCell ref="C15:J15"/>
    <mergeCell ref="C17:J17"/>
    <mergeCell ref="C19:J19"/>
    <mergeCell ref="C21:J21"/>
    <mergeCell ref="C13:J13"/>
    <mergeCell ref="C3:J3"/>
    <mergeCell ref="C5:J5"/>
    <mergeCell ref="C7:J7"/>
    <mergeCell ref="C9:J9"/>
    <mergeCell ref="C11:J11"/>
  </mergeCells>
  <dataValidations disablePrompts="1" count="1">
    <dataValidation type="list" allowBlank="1" showInputMessage="1" showErrorMessage="1" sqref="G4 G6 G12 G10 G8 G16 G14 G18 G20 G22" xr:uid="{0DAB8915-C5A9-4928-AB79-04CD4E3F8DF4}">
      <formula1>"SANGAT BAIK,BAIK,KURANG,SANGAT KURANG"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74ED-537C-4354-90C6-6308F2345411}">
  <dimension ref="B2:D16"/>
  <sheetViews>
    <sheetView workbookViewId="0">
      <selection activeCell="D9" sqref="D9"/>
    </sheetView>
  </sheetViews>
  <sheetFormatPr defaultRowHeight="14.25" x14ac:dyDescent="0.45"/>
  <cols>
    <col min="3" max="3" width="36.73046875" customWidth="1"/>
    <col min="4" max="4" width="38.19921875" customWidth="1"/>
  </cols>
  <sheetData>
    <row r="2" spans="2:4" ht="37.15" customHeight="1" x14ac:dyDescent="0.45">
      <c r="B2" s="27" t="s">
        <v>39</v>
      </c>
      <c r="C2" s="27" t="s">
        <v>170</v>
      </c>
      <c r="D2" s="27" t="s">
        <v>167</v>
      </c>
    </row>
    <row r="3" spans="2:4" ht="42.75" x14ac:dyDescent="0.45">
      <c r="B3" s="27">
        <v>1</v>
      </c>
      <c r="C3" s="89" t="s">
        <v>168</v>
      </c>
      <c r="D3" s="88" t="s">
        <v>169</v>
      </c>
    </row>
    <row r="4" spans="2:4" x14ac:dyDescent="0.45">
      <c r="B4" s="27">
        <v>2</v>
      </c>
      <c r="C4" s="154" t="s">
        <v>274</v>
      </c>
      <c r="D4" s="27" t="s">
        <v>129</v>
      </c>
    </row>
    <row r="5" spans="2:4" x14ac:dyDescent="0.45">
      <c r="B5" s="27" t="s">
        <v>129</v>
      </c>
      <c r="C5" s="155" t="s">
        <v>129</v>
      </c>
      <c r="D5" s="27" t="s">
        <v>129</v>
      </c>
    </row>
    <row r="6" spans="2:4" x14ac:dyDescent="0.45">
      <c r="B6" s="27"/>
      <c r="C6" s="27"/>
      <c r="D6" s="27"/>
    </row>
    <row r="7" spans="2:4" x14ac:dyDescent="0.45">
      <c r="B7" s="27"/>
      <c r="C7" s="27"/>
      <c r="D7" s="27"/>
    </row>
    <row r="8" spans="2:4" x14ac:dyDescent="0.45">
      <c r="B8" s="27"/>
      <c r="C8" s="27"/>
      <c r="D8" s="27"/>
    </row>
    <row r="9" spans="2:4" x14ac:dyDescent="0.45">
      <c r="B9" s="27"/>
      <c r="C9" s="27"/>
      <c r="D9" s="27"/>
    </row>
    <row r="10" spans="2:4" x14ac:dyDescent="0.45">
      <c r="B10" s="27"/>
      <c r="C10" s="27"/>
      <c r="D10" s="27"/>
    </row>
    <row r="11" spans="2:4" x14ac:dyDescent="0.45">
      <c r="B11" s="27"/>
      <c r="C11" s="27"/>
      <c r="D11" s="27"/>
    </row>
    <row r="12" spans="2:4" x14ac:dyDescent="0.45">
      <c r="B12" s="27"/>
      <c r="C12" s="27"/>
      <c r="D12" s="27"/>
    </row>
    <row r="13" spans="2:4" x14ac:dyDescent="0.45">
      <c r="B13" s="27"/>
      <c r="C13" s="27"/>
      <c r="D13" s="27"/>
    </row>
    <row r="14" spans="2:4" x14ac:dyDescent="0.45">
      <c r="B14" s="27"/>
      <c r="C14" s="27"/>
      <c r="D14" s="27"/>
    </row>
    <row r="15" spans="2:4" x14ac:dyDescent="0.45">
      <c r="B15" s="27"/>
      <c r="C15" s="27"/>
      <c r="D15" s="27"/>
    </row>
    <row r="16" spans="2:4" x14ac:dyDescent="0.45">
      <c r="B16" s="27"/>
      <c r="C16" s="27"/>
      <c r="D16" s="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7648-26AB-4E62-AB00-3E1BA2587798}">
  <dimension ref="B2:P30"/>
  <sheetViews>
    <sheetView view="pageBreakPreview" zoomScale="85" zoomScaleNormal="85" zoomScaleSheetLayoutView="85" workbookViewId="0">
      <pane ySplit="2273" topLeftCell="A3" activePane="bottomLeft"/>
      <selection activeCell="K1" sqref="K1:K1048576"/>
      <selection pane="bottomLeft" activeCell="J6" sqref="J6"/>
    </sheetView>
  </sheetViews>
  <sheetFormatPr defaultRowHeight="14.25" x14ac:dyDescent="0.45"/>
  <cols>
    <col min="1" max="1" width="1.9296875" customWidth="1"/>
    <col min="2" max="2" width="5.1328125" customWidth="1"/>
    <col min="3" max="4" width="24" customWidth="1"/>
    <col min="5" max="10" width="12.19921875" customWidth="1"/>
    <col min="11" max="11" width="35.46484375" customWidth="1"/>
    <col min="12" max="12" width="9.73046875" customWidth="1"/>
    <col min="14" max="14" width="0.6640625" customWidth="1"/>
    <col min="15" max="15" width="31.53125" customWidth="1"/>
    <col min="16" max="16" width="21.3984375" customWidth="1"/>
  </cols>
  <sheetData>
    <row r="2" spans="2:16" ht="20.350000000000001" customHeight="1" x14ac:dyDescent="0.45">
      <c r="B2" s="103" t="s">
        <v>39</v>
      </c>
      <c r="C2" s="103" t="s">
        <v>12</v>
      </c>
      <c r="D2" s="104" t="s">
        <v>155</v>
      </c>
      <c r="E2" s="103" t="s">
        <v>65</v>
      </c>
      <c r="F2" s="103"/>
      <c r="G2" s="103"/>
      <c r="H2" s="103"/>
      <c r="I2" s="103"/>
      <c r="J2" s="103"/>
      <c r="K2" s="103" t="s">
        <v>74</v>
      </c>
      <c r="L2" s="104" t="s">
        <v>75</v>
      </c>
      <c r="M2" s="104" t="s">
        <v>62</v>
      </c>
      <c r="N2" s="100"/>
      <c r="O2" s="104" t="s">
        <v>93</v>
      </c>
      <c r="P2" s="103" t="s">
        <v>94</v>
      </c>
    </row>
    <row r="3" spans="2:16" ht="20.350000000000001" customHeight="1" x14ac:dyDescent="0.45">
      <c r="B3" s="103"/>
      <c r="C3" s="103"/>
      <c r="D3" s="103"/>
      <c r="E3" s="104" t="s">
        <v>66</v>
      </c>
      <c r="F3" s="103" t="s">
        <v>69</v>
      </c>
      <c r="G3" s="103" t="s">
        <v>70</v>
      </c>
      <c r="H3" s="103"/>
      <c r="I3" s="103"/>
      <c r="J3" s="103"/>
      <c r="K3" s="103"/>
      <c r="L3" s="104"/>
      <c r="M3" s="104"/>
      <c r="N3" s="101"/>
      <c r="O3" s="104"/>
      <c r="P3" s="103"/>
    </row>
    <row r="4" spans="2:16" ht="64.5" customHeight="1" x14ac:dyDescent="0.45">
      <c r="B4" s="103"/>
      <c r="C4" s="103"/>
      <c r="D4" s="103"/>
      <c r="E4" s="104"/>
      <c r="F4" s="103"/>
      <c r="G4" s="56" t="s">
        <v>84</v>
      </c>
      <c r="H4" s="56" t="s">
        <v>270</v>
      </c>
      <c r="I4" s="55" t="s">
        <v>67</v>
      </c>
      <c r="J4" s="55" t="s">
        <v>68</v>
      </c>
      <c r="K4" s="103"/>
      <c r="L4" s="104"/>
      <c r="M4" s="104"/>
      <c r="N4" s="102"/>
      <c r="O4" s="106"/>
      <c r="P4" s="105"/>
    </row>
    <row r="5" spans="2:16" ht="148.5" x14ac:dyDescent="0.45">
      <c r="B5" s="39">
        <v>1</v>
      </c>
      <c r="C5" s="40" t="s">
        <v>253</v>
      </c>
      <c r="D5" s="156" t="s">
        <v>271</v>
      </c>
      <c r="E5" s="156" t="s">
        <v>275</v>
      </c>
      <c r="F5" s="156" t="s">
        <v>275</v>
      </c>
      <c r="G5" s="156" t="s">
        <v>275</v>
      </c>
      <c r="H5" s="156" t="s">
        <v>275</v>
      </c>
      <c r="I5" s="156" t="s">
        <v>275</v>
      </c>
      <c r="J5" s="156" t="s">
        <v>275</v>
      </c>
      <c r="K5" s="157" t="str">
        <f>'1 (Mutu Guru) '!C4</f>
        <v>Guru menyusun perencanaan pembelajaran yang belum memfasilitasi peserta didik belajar aktif, kreatif, dan inovatif, serta belum memanfaatkan lingkungan dan TIK secara optimal dalam mendukung pembelajaran.</v>
      </c>
      <c r="L5" s="43" t="s">
        <v>91</v>
      </c>
      <c r="M5" s="57">
        <v>1</v>
      </c>
      <c r="N5" s="58"/>
      <c r="O5" s="110"/>
      <c r="P5" s="107"/>
    </row>
    <row r="6" spans="2:16" ht="135.75" x14ac:dyDescent="0.45">
      <c r="B6" s="39">
        <v>2</v>
      </c>
      <c r="C6" s="42" t="s">
        <v>254</v>
      </c>
      <c r="D6" s="156" t="s">
        <v>271</v>
      </c>
      <c r="E6" s="41"/>
      <c r="F6" s="41"/>
      <c r="G6" s="41"/>
      <c r="H6" s="41"/>
      <c r="I6" s="41"/>
      <c r="J6" s="41"/>
      <c r="K6" s="51"/>
      <c r="L6" s="43"/>
      <c r="M6" s="22">
        <v>3</v>
      </c>
      <c r="N6" s="59"/>
      <c r="O6" s="111"/>
      <c r="P6" s="108"/>
    </row>
    <row r="7" spans="2:16" ht="108.75" x14ac:dyDescent="0.45">
      <c r="B7" s="39">
        <v>3</v>
      </c>
      <c r="C7" s="42" t="s">
        <v>256</v>
      </c>
      <c r="D7" s="42"/>
      <c r="E7" s="41"/>
      <c r="F7" s="41"/>
      <c r="G7" s="41"/>
      <c r="H7" s="41"/>
      <c r="I7" s="41"/>
      <c r="J7" s="41"/>
      <c r="K7" s="43"/>
      <c r="L7" s="43"/>
      <c r="M7" s="22">
        <v>3</v>
      </c>
      <c r="N7" s="59"/>
      <c r="O7" s="111"/>
      <c r="P7" s="108"/>
    </row>
    <row r="8" spans="2:16" ht="122.25" x14ac:dyDescent="0.45">
      <c r="B8" s="39">
        <v>4</v>
      </c>
      <c r="C8" s="42" t="s">
        <v>257</v>
      </c>
      <c r="D8" s="42"/>
      <c r="E8" s="41"/>
      <c r="F8" s="41"/>
      <c r="G8" s="41"/>
      <c r="H8" s="41"/>
      <c r="I8" s="41"/>
      <c r="J8" s="41"/>
      <c r="K8" s="43"/>
      <c r="L8" s="43"/>
      <c r="M8" s="22">
        <v>4</v>
      </c>
      <c r="N8" s="59"/>
      <c r="O8" s="111"/>
      <c r="P8" s="108"/>
    </row>
    <row r="9" spans="2:16" ht="95.25" x14ac:dyDescent="0.45">
      <c r="B9" s="30">
        <v>5</v>
      </c>
      <c r="C9" s="29" t="s">
        <v>258</v>
      </c>
      <c r="D9" s="29"/>
      <c r="E9" s="31"/>
      <c r="F9" s="31"/>
      <c r="G9" s="31"/>
      <c r="H9" s="31"/>
      <c r="I9" s="31"/>
      <c r="J9" s="31"/>
      <c r="K9" s="43"/>
      <c r="L9" s="43"/>
      <c r="M9" s="53">
        <v>2</v>
      </c>
      <c r="N9" s="59"/>
      <c r="O9" s="111"/>
      <c r="P9" s="108"/>
    </row>
    <row r="10" spans="2:16" ht="54.75" x14ac:dyDescent="0.45">
      <c r="B10" s="30">
        <v>6</v>
      </c>
      <c r="C10" s="29" t="s">
        <v>252</v>
      </c>
      <c r="D10" s="29"/>
      <c r="E10" s="31"/>
      <c r="F10" s="31"/>
      <c r="G10" s="31"/>
      <c r="H10" s="31"/>
      <c r="I10" s="31"/>
      <c r="J10" s="31"/>
      <c r="K10" s="43"/>
      <c r="L10" s="43"/>
      <c r="M10" s="53"/>
      <c r="N10" s="59"/>
      <c r="O10" s="90"/>
      <c r="P10" s="108"/>
    </row>
    <row r="11" spans="2:16" ht="135.75" x14ac:dyDescent="0.45">
      <c r="B11" s="44">
        <v>7</v>
      </c>
      <c r="C11" s="45" t="s">
        <v>260</v>
      </c>
      <c r="D11" s="45"/>
      <c r="E11" s="46"/>
      <c r="F11" s="46"/>
      <c r="G11" s="46"/>
      <c r="H11" s="46"/>
      <c r="I11" s="46"/>
      <c r="J11" s="46"/>
      <c r="K11" s="47"/>
      <c r="L11" s="47"/>
      <c r="M11" s="24">
        <v>4</v>
      </c>
      <c r="N11" s="59"/>
      <c r="O11" s="112"/>
      <c r="P11" s="108"/>
    </row>
    <row r="12" spans="2:16" ht="41.25" x14ac:dyDescent="0.45">
      <c r="B12" s="30">
        <v>8</v>
      </c>
      <c r="C12" s="29" t="s">
        <v>261</v>
      </c>
      <c r="D12" s="29"/>
      <c r="E12" s="31"/>
      <c r="F12" s="31"/>
      <c r="G12" s="31"/>
      <c r="H12" s="31"/>
      <c r="I12" s="31"/>
      <c r="J12" s="31"/>
      <c r="K12" s="47"/>
      <c r="L12" s="47"/>
      <c r="M12" s="53"/>
      <c r="N12" s="59"/>
      <c r="O12" s="112"/>
      <c r="P12" s="108"/>
    </row>
    <row r="13" spans="2:16" ht="95.25" x14ac:dyDescent="0.45">
      <c r="B13" s="44">
        <v>9</v>
      </c>
      <c r="C13" s="45" t="s">
        <v>262</v>
      </c>
      <c r="D13" s="45"/>
      <c r="E13" s="46"/>
      <c r="F13" s="46"/>
      <c r="G13" s="46"/>
      <c r="H13" s="46"/>
      <c r="I13" s="46"/>
      <c r="J13" s="46"/>
      <c r="K13" s="47"/>
      <c r="L13" s="47"/>
      <c r="M13" s="24">
        <v>3</v>
      </c>
      <c r="N13" s="59"/>
      <c r="O13" s="112"/>
      <c r="P13" s="108"/>
    </row>
    <row r="14" spans="2:16" ht="95.25" x14ac:dyDescent="0.45">
      <c r="B14" s="44">
        <v>10</v>
      </c>
      <c r="C14" s="45" t="s">
        <v>263</v>
      </c>
      <c r="D14" s="45"/>
      <c r="E14" s="46"/>
      <c r="F14" s="46"/>
      <c r="G14" s="46"/>
      <c r="H14" s="46"/>
      <c r="I14" s="46"/>
      <c r="J14" s="46"/>
      <c r="K14" s="47"/>
      <c r="L14" s="47"/>
      <c r="M14" s="24">
        <v>3</v>
      </c>
      <c r="N14" s="59"/>
      <c r="O14" s="112"/>
      <c r="P14" s="108"/>
    </row>
    <row r="15" spans="2:16" ht="68.25" x14ac:dyDescent="0.45">
      <c r="B15" s="44">
        <v>11</v>
      </c>
      <c r="C15" s="45" t="s">
        <v>264</v>
      </c>
      <c r="D15" s="45"/>
      <c r="E15" s="46"/>
      <c r="F15" s="46"/>
      <c r="G15" s="46"/>
      <c r="H15" s="46"/>
      <c r="I15" s="46"/>
      <c r="J15" s="46"/>
      <c r="K15" s="47"/>
      <c r="L15" s="47"/>
      <c r="M15" s="57">
        <v>1</v>
      </c>
      <c r="N15" s="59"/>
      <c r="O15" s="112"/>
      <c r="P15" s="108"/>
    </row>
    <row r="16" spans="2:16" ht="108.75" x14ac:dyDescent="0.45">
      <c r="B16" s="44">
        <v>12</v>
      </c>
      <c r="C16" s="45" t="s">
        <v>265</v>
      </c>
      <c r="D16" s="45"/>
      <c r="E16" s="46"/>
      <c r="F16" s="46"/>
      <c r="G16" s="46"/>
      <c r="H16" s="46"/>
      <c r="I16" s="46"/>
      <c r="J16" s="46"/>
      <c r="K16" s="47"/>
      <c r="L16" s="47"/>
      <c r="M16" s="24">
        <v>3</v>
      </c>
      <c r="N16" s="59"/>
      <c r="O16" s="112"/>
      <c r="P16" s="108"/>
    </row>
    <row r="17" spans="2:16" ht="95.25" x14ac:dyDescent="0.45">
      <c r="B17" s="44">
        <v>13</v>
      </c>
      <c r="C17" s="45" t="s">
        <v>266</v>
      </c>
      <c r="D17" s="45"/>
      <c r="E17" s="46"/>
      <c r="F17" s="46"/>
      <c r="G17" s="46"/>
      <c r="H17" s="46"/>
      <c r="I17" s="46"/>
      <c r="J17" s="46"/>
      <c r="K17" s="47"/>
      <c r="L17" s="47"/>
      <c r="M17" s="24">
        <v>3</v>
      </c>
      <c r="N17" s="59"/>
      <c r="O17" s="112"/>
      <c r="P17" s="108"/>
    </row>
    <row r="18" spans="2:16" ht="81.75" x14ac:dyDescent="0.45">
      <c r="B18" s="44">
        <v>14</v>
      </c>
      <c r="C18" s="45" t="s">
        <v>267</v>
      </c>
      <c r="D18" s="45"/>
      <c r="E18" s="46"/>
      <c r="F18" s="46"/>
      <c r="G18" s="46"/>
      <c r="H18" s="46"/>
      <c r="I18" s="46"/>
      <c r="J18" s="46"/>
      <c r="K18" s="47"/>
      <c r="L18" s="47"/>
      <c r="M18" s="57">
        <v>1</v>
      </c>
      <c r="N18" s="59"/>
      <c r="O18" s="112"/>
      <c r="P18" s="108"/>
    </row>
    <row r="19" spans="2:16" ht="135.75" x14ac:dyDescent="0.45">
      <c r="B19" s="30">
        <v>15</v>
      </c>
      <c r="C19" s="29" t="s">
        <v>268</v>
      </c>
      <c r="D19" s="29"/>
      <c r="E19" s="31"/>
      <c r="F19" s="31"/>
      <c r="G19" s="31"/>
      <c r="H19" s="31"/>
      <c r="I19" s="31"/>
      <c r="J19" s="31"/>
      <c r="K19" s="47"/>
      <c r="L19" s="47"/>
      <c r="M19" s="53">
        <v>2</v>
      </c>
      <c r="N19" s="59"/>
      <c r="O19" s="112"/>
      <c r="P19" s="108"/>
    </row>
    <row r="20" spans="2:16" ht="81.75" x14ac:dyDescent="0.45">
      <c r="B20" s="30">
        <v>16</v>
      </c>
      <c r="C20" s="29" t="s">
        <v>269</v>
      </c>
      <c r="D20" s="29"/>
      <c r="E20" s="31"/>
      <c r="F20" s="31"/>
      <c r="G20" s="31"/>
      <c r="H20" s="31"/>
      <c r="I20" s="31"/>
      <c r="J20" s="31"/>
      <c r="K20" s="47"/>
      <c r="L20" s="47"/>
      <c r="M20" s="53">
        <v>3</v>
      </c>
      <c r="N20" s="59"/>
      <c r="O20" s="112"/>
      <c r="P20" s="108"/>
    </row>
    <row r="21" spans="2:16" ht="145.9" customHeight="1" x14ac:dyDescent="0.45">
      <c r="B21" s="48">
        <v>17</v>
      </c>
      <c r="C21" s="87" t="s">
        <v>40</v>
      </c>
      <c r="D21" s="87" t="s">
        <v>156</v>
      </c>
      <c r="E21" s="49"/>
      <c r="F21" s="49"/>
      <c r="G21" s="49"/>
      <c r="H21" s="49"/>
      <c r="I21" s="49"/>
      <c r="J21" s="49"/>
      <c r="K21" s="50"/>
      <c r="L21" s="50"/>
      <c r="M21" s="50">
        <v>4</v>
      </c>
      <c r="N21" s="59"/>
      <c r="O21" s="113"/>
      <c r="P21" s="108"/>
    </row>
    <row r="22" spans="2:16" ht="102.75" customHeight="1" x14ac:dyDescent="0.45">
      <c r="B22" s="48">
        <v>18</v>
      </c>
      <c r="C22" s="87" t="s">
        <v>71</v>
      </c>
      <c r="D22" s="87" t="s">
        <v>157</v>
      </c>
      <c r="E22" s="49"/>
      <c r="F22" s="49"/>
      <c r="G22" s="49"/>
      <c r="H22" s="49"/>
      <c r="I22" s="49"/>
      <c r="J22" s="49"/>
      <c r="K22" s="50"/>
      <c r="L22" s="50"/>
      <c r="M22" s="50">
        <v>4</v>
      </c>
      <c r="N22" s="59"/>
      <c r="O22" s="113"/>
      <c r="P22" s="108"/>
    </row>
    <row r="23" spans="2:16" ht="112.9" customHeight="1" x14ac:dyDescent="0.45">
      <c r="B23" s="48">
        <v>19</v>
      </c>
      <c r="C23" s="87" t="s">
        <v>42</v>
      </c>
      <c r="D23" s="87" t="s">
        <v>158</v>
      </c>
      <c r="E23" s="49"/>
      <c r="F23" s="49"/>
      <c r="G23" s="49"/>
      <c r="H23" s="49"/>
      <c r="I23" s="49"/>
      <c r="J23" s="49"/>
      <c r="K23" s="50"/>
      <c r="L23" s="50"/>
      <c r="M23" s="50">
        <v>4</v>
      </c>
      <c r="N23" s="59"/>
      <c r="O23" s="113"/>
      <c r="P23" s="108"/>
    </row>
    <row r="24" spans="2:16" ht="84.75" customHeight="1" x14ac:dyDescent="0.45">
      <c r="B24" s="48">
        <v>20</v>
      </c>
      <c r="C24" s="87" t="s">
        <v>72</v>
      </c>
      <c r="D24" s="87" t="s">
        <v>159</v>
      </c>
      <c r="E24" s="49"/>
      <c r="F24" s="49"/>
      <c r="G24" s="49"/>
      <c r="H24" s="49"/>
      <c r="I24" s="49"/>
      <c r="J24" s="49"/>
      <c r="K24" s="50"/>
      <c r="L24" s="50"/>
      <c r="M24" s="50">
        <v>4</v>
      </c>
      <c r="N24" s="59"/>
      <c r="O24" s="113"/>
      <c r="P24" s="108"/>
    </row>
    <row r="25" spans="2:16" ht="94.5" x14ac:dyDescent="0.45">
      <c r="B25" s="48">
        <v>21</v>
      </c>
      <c r="C25" s="87" t="s">
        <v>73</v>
      </c>
      <c r="D25" s="87" t="s">
        <v>160</v>
      </c>
      <c r="E25" s="49"/>
      <c r="F25" s="49"/>
      <c r="G25" s="49"/>
      <c r="H25" s="49"/>
      <c r="I25" s="49"/>
      <c r="J25" s="49"/>
      <c r="K25" s="50"/>
      <c r="L25" s="50"/>
      <c r="M25" s="50">
        <v>4</v>
      </c>
      <c r="N25" s="59"/>
      <c r="O25" s="113"/>
      <c r="P25" s="108"/>
    </row>
    <row r="26" spans="2:16" ht="94.5" x14ac:dyDescent="0.45">
      <c r="B26" s="48">
        <v>22</v>
      </c>
      <c r="C26" s="87" t="s">
        <v>45</v>
      </c>
      <c r="D26" s="87" t="s">
        <v>161</v>
      </c>
      <c r="E26" s="49"/>
      <c r="F26" s="49"/>
      <c r="G26" s="49"/>
      <c r="H26" s="49"/>
      <c r="I26" s="49"/>
      <c r="J26" s="49"/>
      <c r="K26" s="50"/>
      <c r="L26" s="50"/>
      <c r="M26" s="50">
        <v>4</v>
      </c>
      <c r="N26" s="59"/>
      <c r="O26" s="113"/>
      <c r="P26" s="108"/>
    </row>
    <row r="27" spans="2:16" ht="67.5" x14ac:dyDescent="0.45">
      <c r="B27" s="48">
        <v>23</v>
      </c>
      <c r="C27" s="87" t="s">
        <v>49</v>
      </c>
      <c r="D27" s="87" t="s">
        <v>162</v>
      </c>
      <c r="E27" s="49"/>
      <c r="F27" s="49"/>
      <c r="G27" s="49"/>
      <c r="H27" s="49"/>
      <c r="I27" s="49"/>
      <c r="J27" s="49"/>
      <c r="K27" s="50"/>
      <c r="L27" s="50"/>
      <c r="M27" s="50">
        <v>4</v>
      </c>
      <c r="N27" s="59"/>
      <c r="O27" s="113"/>
      <c r="P27" s="108"/>
    </row>
    <row r="28" spans="2:16" ht="94.5" x14ac:dyDescent="0.45">
      <c r="B28" s="30">
        <v>24</v>
      </c>
      <c r="C28" s="92" t="s">
        <v>46</v>
      </c>
      <c r="D28" s="92" t="s">
        <v>163</v>
      </c>
      <c r="E28" s="31"/>
      <c r="F28" s="31"/>
      <c r="G28" s="31"/>
      <c r="H28" s="31"/>
      <c r="I28" s="31"/>
      <c r="J28" s="31"/>
      <c r="K28" s="50"/>
      <c r="L28" s="50" t="s">
        <v>91</v>
      </c>
      <c r="M28" s="93">
        <v>4</v>
      </c>
      <c r="N28" s="59"/>
      <c r="O28" s="113"/>
      <c r="P28" s="108"/>
    </row>
    <row r="29" spans="2:16" ht="67.5" x14ac:dyDescent="0.45">
      <c r="B29" s="48">
        <v>25</v>
      </c>
      <c r="C29" s="87" t="s">
        <v>164</v>
      </c>
      <c r="D29" s="87" t="s">
        <v>165</v>
      </c>
      <c r="E29" s="49"/>
      <c r="F29" s="49"/>
      <c r="G29" s="49"/>
      <c r="H29" s="49"/>
      <c r="I29" s="49"/>
      <c r="J29" s="49"/>
      <c r="K29" s="50"/>
      <c r="L29" s="50"/>
      <c r="M29" s="50">
        <v>4</v>
      </c>
      <c r="N29" s="59"/>
      <c r="O29" s="113"/>
      <c r="P29" s="108"/>
    </row>
    <row r="30" spans="2:16" ht="94.5" x14ac:dyDescent="0.45">
      <c r="B30" s="48">
        <v>26</v>
      </c>
      <c r="C30" s="87" t="s">
        <v>48</v>
      </c>
      <c r="D30" s="87" t="s">
        <v>166</v>
      </c>
      <c r="E30" s="49"/>
      <c r="F30" s="49"/>
      <c r="G30" s="49"/>
      <c r="H30" s="49"/>
      <c r="I30" s="49"/>
      <c r="J30" s="49"/>
      <c r="K30" s="50"/>
      <c r="L30" s="50"/>
      <c r="M30" s="50">
        <v>4</v>
      </c>
      <c r="N30" s="60"/>
      <c r="O30" s="114"/>
      <c r="P30" s="109"/>
    </row>
  </sheetData>
  <mergeCells count="17">
    <mergeCell ref="P2:P4"/>
    <mergeCell ref="O2:O4"/>
    <mergeCell ref="P5:P30"/>
    <mergeCell ref="O5:O9"/>
    <mergeCell ref="O11:O20"/>
    <mergeCell ref="O21:O30"/>
    <mergeCell ref="N2:N4"/>
    <mergeCell ref="B2:B4"/>
    <mergeCell ref="C2:C4"/>
    <mergeCell ref="E3:E4"/>
    <mergeCell ref="F3:F4"/>
    <mergeCell ref="G3:J3"/>
    <mergeCell ref="K2:K4"/>
    <mergeCell ref="M2:M4"/>
    <mergeCell ref="L2:L4"/>
    <mergeCell ref="E2:J2"/>
    <mergeCell ref="D2:D4"/>
  </mergeCells>
  <dataValidations count="1">
    <dataValidation type="list" allowBlank="1" showInputMessage="1" showErrorMessage="1" sqref="L5:L30" xr:uid="{B7F3D385-8D33-4564-9698-ABA68FFB35AD}">
      <formula1>"SANGAT BAIK, BAIK, KURANG, SANGAT KURANG"</formula1>
    </dataValidation>
  </dataValidations>
  <pageMargins left="0.7" right="0.7" top="0.75" bottom="0.75" header="0.3" footer="0.3"/>
  <pageSetup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AFA6-EF0A-4820-BF60-1227B8B623DD}">
  <dimension ref="B2:I29"/>
  <sheetViews>
    <sheetView tabSelected="1" topLeftCell="B4" zoomScale="70" zoomScaleNormal="70" workbookViewId="0">
      <selection activeCell="D33" sqref="D33"/>
    </sheetView>
  </sheetViews>
  <sheetFormatPr defaultColWidth="8.6640625" defaultRowHeight="14.25" x14ac:dyDescent="0.45"/>
  <cols>
    <col min="1" max="1" width="1.1328125" style="26" customWidth="1"/>
    <col min="2" max="2" width="10.06640625" style="26" customWidth="1"/>
    <col min="3" max="3" width="14.86328125" style="26" customWidth="1"/>
    <col min="4" max="4" width="50.9296875" style="26" customWidth="1"/>
    <col min="5" max="5" width="63.46484375" style="26" customWidth="1"/>
    <col min="6" max="6" width="10.33203125" style="26" customWidth="1"/>
    <col min="7" max="9" width="41.796875" style="26" customWidth="1"/>
    <col min="10" max="16384" width="8.6640625" style="26"/>
  </cols>
  <sheetData>
    <row r="2" spans="2:9" ht="27.4" customHeight="1" x14ac:dyDescent="0.45">
      <c r="B2" s="115" t="s">
        <v>96</v>
      </c>
      <c r="C2" s="115" t="s">
        <v>10</v>
      </c>
      <c r="D2" s="115" t="s">
        <v>11</v>
      </c>
      <c r="E2" s="115" t="s">
        <v>12</v>
      </c>
      <c r="F2" s="120" t="s">
        <v>52</v>
      </c>
      <c r="G2" s="122" t="s">
        <v>95</v>
      </c>
      <c r="H2" s="122"/>
      <c r="I2" s="122"/>
    </row>
    <row r="3" spans="2:9" ht="27.4" customHeight="1" x14ac:dyDescent="0.45">
      <c r="B3" s="116"/>
      <c r="C3" s="116"/>
      <c r="D3" s="116"/>
      <c r="E3" s="116"/>
      <c r="F3" s="121"/>
      <c r="G3" s="54" t="s">
        <v>53</v>
      </c>
      <c r="H3" s="54" t="s">
        <v>56</v>
      </c>
      <c r="I3" s="54" t="s">
        <v>59</v>
      </c>
    </row>
    <row r="4" spans="2:9" ht="19.899999999999999" customHeight="1" x14ac:dyDescent="0.45">
      <c r="B4" s="22">
        <v>1</v>
      </c>
      <c r="C4" s="98" t="s">
        <v>13</v>
      </c>
      <c r="D4" s="22" t="s">
        <v>14</v>
      </c>
      <c r="E4" s="51" t="s">
        <v>15</v>
      </c>
      <c r="F4" s="57">
        <f>'Bukti Kinerja'!M5</f>
        <v>1</v>
      </c>
      <c r="G4" s="158" t="s">
        <v>55</v>
      </c>
      <c r="H4" s="158" t="s">
        <v>58</v>
      </c>
      <c r="I4" s="158" t="s">
        <v>61</v>
      </c>
    </row>
    <row r="5" spans="2:9" ht="19.899999999999999" customHeight="1" x14ac:dyDescent="0.45">
      <c r="B5" s="22">
        <v>2</v>
      </c>
      <c r="C5" s="98"/>
      <c r="D5" s="96" t="s">
        <v>16</v>
      </c>
      <c r="E5" s="51" t="s">
        <v>17</v>
      </c>
      <c r="F5" s="22">
        <f>'Bukti Kinerja'!M6</f>
        <v>3</v>
      </c>
      <c r="G5" s="159"/>
      <c r="H5" s="159"/>
      <c r="I5" s="159"/>
    </row>
    <row r="6" spans="2:9" ht="19.899999999999999" customHeight="1" x14ac:dyDescent="0.45">
      <c r="B6" s="22">
        <v>3</v>
      </c>
      <c r="C6" s="98"/>
      <c r="D6" s="96"/>
      <c r="E6" s="51" t="s">
        <v>18</v>
      </c>
      <c r="F6" s="22">
        <f>'Bukti Kinerja'!M7</f>
        <v>3</v>
      </c>
      <c r="G6" s="159"/>
      <c r="H6" s="159"/>
      <c r="I6" s="159"/>
    </row>
    <row r="7" spans="2:9" ht="19.899999999999999" customHeight="1" x14ac:dyDescent="0.45">
      <c r="B7" s="22">
        <v>4</v>
      </c>
      <c r="C7" s="98"/>
      <c r="D7" s="22" t="s">
        <v>19</v>
      </c>
      <c r="E7" s="51" t="s">
        <v>20</v>
      </c>
      <c r="F7" s="22">
        <f>'Bukti Kinerja'!M8</f>
        <v>4</v>
      </c>
      <c r="G7" s="159"/>
      <c r="H7" s="159"/>
      <c r="I7" s="159"/>
    </row>
    <row r="8" spans="2:9" ht="19.899999999999999" customHeight="1" x14ac:dyDescent="0.45">
      <c r="B8" s="22">
        <v>5</v>
      </c>
      <c r="C8" s="98"/>
      <c r="D8" s="53" t="s">
        <v>21</v>
      </c>
      <c r="E8" s="23" t="s">
        <v>50</v>
      </c>
      <c r="F8" s="22">
        <f>'Bukti Kinerja'!M9</f>
        <v>2</v>
      </c>
      <c r="G8" s="160"/>
      <c r="H8" s="160"/>
      <c r="I8" s="160"/>
    </row>
    <row r="9" spans="2:9" ht="19.899999999999999" customHeight="1" x14ac:dyDescent="0.45">
      <c r="B9" s="22">
        <v>6</v>
      </c>
      <c r="C9" s="22"/>
      <c r="D9" s="53" t="s">
        <v>272</v>
      </c>
      <c r="E9" s="23" t="s">
        <v>273</v>
      </c>
      <c r="F9" s="22">
        <v>3</v>
      </c>
      <c r="G9" s="161"/>
      <c r="H9" s="161"/>
      <c r="I9" s="161"/>
    </row>
    <row r="10" spans="2:9" ht="19.899999999999999" customHeight="1" x14ac:dyDescent="0.45">
      <c r="B10" s="24">
        <v>7</v>
      </c>
      <c r="C10" s="123" t="s">
        <v>22</v>
      </c>
      <c r="D10" s="97" t="s">
        <v>23</v>
      </c>
      <c r="E10" s="52" t="s">
        <v>24</v>
      </c>
      <c r="F10" s="24">
        <f>'Bukti Kinerja'!M11</f>
        <v>4</v>
      </c>
      <c r="G10" s="162" t="s">
        <v>54</v>
      </c>
      <c r="H10" s="162" t="s">
        <v>57</v>
      </c>
      <c r="I10" s="162" t="s">
        <v>60</v>
      </c>
    </row>
    <row r="11" spans="2:9" ht="19.899999999999999" customHeight="1" x14ac:dyDescent="0.45">
      <c r="B11" s="24">
        <v>8</v>
      </c>
      <c r="C11" s="123"/>
      <c r="D11" s="97"/>
      <c r="E11" s="23" t="s">
        <v>171</v>
      </c>
      <c r="F11" s="24"/>
      <c r="G11" s="162"/>
      <c r="H11" s="162"/>
      <c r="I11" s="162"/>
    </row>
    <row r="12" spans="2:9" ht="19.899999999999999" customHeight="1" x14ac:dyDescent="0.45">
      <c r="B12" s="24">
        <v>9</v>
      </c>
      <c r="C12" s="123"/>
      <c r="D12" s="97"/>
      <c r="E12" s="52" t="s">
        <v>25</v>
      </c>
      <c r="F12" s="24">
        <f>'Bukti Kinerja'!M13</f>
        <v>3</v>
      </c>
      <c r="G12" s="162"/>
      <c r="H12" s="162"/>
      <c r="I12" s="162"/>
    </row>
    <row r="13" spans="2:9" ht="19.899999999999999" customHeight="1" x14ac:dyDescent="0.45">
      <c r="B13" s="24">
        <v>10</v>
      </c>
      <c r="C13" s="123"/>
      <c r="D13" s="97"/>
      <c r="E13" s="52" t="s">
        <v>26</v>
      </c>
      <c r="F13" s="24">
        <f>'Bukti Kinerja'!M14</f>
        <v>3</v>
      </c>
      <c r="G13" s="162"/>
      <c r="H13" s="162"/>
      <c r="I13" s="162"/>
    </row>
    <row r="14" spans="2:9" ht="19.899999999999999" customHeight="1" x14ac:dyDescent="0.45">
      <c r="B14" s="24">
        <v>11</v>
      </c>
      <c r="C14" s="123"/>
      <c r="D14" s="97" t="s">
        <v>27</v>
      </c>
      <c r="E14" s="52" t="s">
        <v>28</v>
      </c>
      <c r="F14" s="57">
        <f>'Bukti Kinerja'!M15</f>
        <v>1</v>
      </c>
      <c r="G14" s="162"/>
      <c r="H14" s="162"/>
      <c r="I14" s="162"/>
    </row>
    <row r="15" spans="2:9" ht="19.899999999999999" customHeight="1" x14ac:dyDescent="0.45">
      <c r="B15" s="24">
        <v>12</v>
      </c>
      <c r="C15" s="123"/>
      <c r="D15" s="97"/>
      <c r="E15" s="52" t="s">
        <v>29</v>
      </c>
      <c r="F15" s="24">
        <f>'Bukti Kinerja'!M16</f>
        <v>3</v>
      </c>
      <c r="G15" s="162"/>
      <c r="H15" s="162"/>
      <c r="I15" s="162"/>
    </row>
    <row r="16" spans="2:9" ht="19.899999999999999" customHeight="1" x14ac:dyDescent="0.45">
      <c r="B16" s="24">
        <v>13</v>
      </c>
      <c r="C16" s="123"/>
      <c r="D16" s="97"/>
      <c r="E16" s="52" t="s">
        <v>30</v>
      </c>
      <c r="F16" s="24">
        <f>'Bukti Kinerja'!M17</f>
        <v>3</v>
      </c>
      <c r="G16" s="162"/>
      <c r="H16" s="162"/>
      <c r="I16" s="162"/>
    </row>
    <row r="17" spans="2:9" ht="19.899999999999999" customHeight="1" x14ac:dyDescent="0.45">
      <c r="B17" s="24">
        <v>14</v>
      </c>
      <c r="C17" s="123"/>
      <c r="D17" s="24" t="s">
        <v>31</v>
      </c>
      <c r="E17" s="52" t="s">
        <v>32</v>
      </c>
      <c r="F17" s="57">
        <f>'Bukti Kinerja'!M18</f>
        <v>1</v>
      </c>
      <c r="G17" s="162"/>
      <c r="H17" s="162"/>
      <c r="I17" s="162"/>
    </row>
    <row r="18" spans="2:9" ht="19.899999999999999" customHeight="1" x14ac:dyDescent="0.45">
      <c r="B18" s="24">
        <v>15</v>
      </c>
      <c r="C18" s="123"/>
      <c r="D18" s="53" t="s">
        <v>97</v>
      </c>
      <c r="E18" s="23" t="s">
        <v>33</v>
      </c>
      <c r="F18" s="24">
        <f>'Bukti Kinerja'!M19</f>
        <v>2</v>
      </c>
      <c r="G18" s="162"/>
      <c r="H18" s="162"/>
      <c r="I18" s="162"/>
    </row>
    <row r="19" spans="2:9" ht="19.899999999999999" customHeight="1" x14ac:dyDescent="0.45">
      <c r="B19" s="24">
        <v>16</v>
      </c>
      <c r="C19" s="123"/>
      <c r="D19" s="53" t="s">
        <v>34</v>
      </c>
      <c r="E19" s="23" t="s">
        <v>35</v>
      </c>
      <c r="F19" s="24">
        <f>'Bukti Kinerja'!M20</f>
        <v>3</v>
      </c>
      <c r="G19" s="162"/>
      <c r="H19" s="162"/>
      <c r="I19" s="162"/>
    </row>
    <row r="20" spans="2:9" ht="19.899999999999999" customHeight="1" x14ac:dyDescent="0.45">
      <c r="B20" s="25">
        <v>17</v>
      </c>
      <c r="C20" s="124" t="s">
        <v>36</v>
      </c>
      <c r="D20" s="94" t="s">
        <v>37</v>
      </c>
      <c r="E20" s="61" t="s">
        <v>40</v>
      </c>
      <c r="F20" s="25">
        <f>'Bukti Kinerja'!M21</f>
        <v>4</v>
      </c>
      <c r="G20" s="117"/>
      <c r="H20" s="117"/>
      <c r="I20" s="117"/>
    </row>
    <row r="21" spans="2:9" ht="19.899999999999999" customHeight="1" x14ac:dyDescent="0.45">
      <c r="B21" s="25">
        <v>18</v>
      </c>
      <c r="C21" s="124"/>
      <c r="D21" s="94"/>
      <c r="E21" s="61" t="s">
        <v>41</v>
      </c>
      <c r="F21" s="25">
        <f>'Bukti Kinerja'!M22</f>
        <v>4</v>
      </c>
      <c r="G21" s="118"/>
      <c r="H21" s="118"/>
      <c r="I21" s="118"/>
    </row>
    <row r="22" spans="2:9" ht="19.899999999999999" customHeight="1" x14ac:dyDescent="0.45">
      <c r="B22" s="25">
        <v>19</v>
      </c>
      <c r="C22" s="124"/>
      <c r="D22" s="94"/>
      <c r="E22" s="61" t="s">
        <v>42</v>
      </c>
      <c r="F22" s="25">
        <f>'Bukti Kinerja'!M23</f>
        <v>4</v>
      </c>
      <c r="G22" s="118"/>
      <c r="H22" s="118"/>
      <c r="I22" s="118"/>
    </row>
    <row r="23" spans="2:9" ht="19.899999999999999" customHeight="1" x14ac:dyDescent="0.45">
      <c r="B23" s="25">
        <v>20</v>
      </c>
      <c r="C23" s="124"/>
      <c r="D23" s="94"/>
      <c r="E23" s="61" t="s">
        <v>43</v>
      </c>
      <c r="F23" s="25">
        <f>'Bukti Kinerja'!M24</f>
        <v>4</v>
      </c>
      <c r="G23" s="118"/>
      <c r="H23" s="118"/>
      <c r="I23" s="118"/>
    </row>
    <row r="24" spans="2:9" ht="19.899999999999999" customHeight="1" x14ac:dyDescent="0.45">
      <c r="B24" s="25">
        <v>21</v>
      </c>
      <c r="C24" s="124"/>
      <c r="D24" s="94"/>
      <c r="E24" s="61" t="s">
        <v>44</v>
      </c>
      <c r="F24" s="25">
        <f>'Bukti Kinerja'!M25</f>
        <v>4</v>
      </c>
      <c r="G24" s="118"/>
      <c r="H24" s="118"/>
      <c r="I24" s="118"/>
    </row>
    <row r="25" spans="2:9" ht="19.899999999999999" customHeight="1" x14ac:dyDescent="0.45">
      <c r="B25" s="25">
        <v>22</v>
      </c>
      <c r="C25" s="124"/>
      <c r="D25" s="94" t="s">
        <v>38</v>
      </c>
      <c r="E25" s="61" t="s">
        <v>45</v>
      </c>
      <c r="F25" s="25">
        <f>'Bukti Kinerja'!M26</f>
        <v>4</v>
      </c>
      <c r="G25" s="118"/>
      <c r="H25" s="118"/>
      <c r="I25" s="118"/>
    </row>
    <row r="26" spans="2:9" ht="19.899999999999999" customHeight="1" x14ac:dyDescent="0.45">
      <c r="B26" s="25">
        <v>23</v>
      </c>
      <c r="C26" s="124"/>
      <c r="D26" s="94"/>
      <c r="E26" s="61" t="s">
        <v>49</v>
      </c>
      <c r="F26" s="25">
        <f>'Bukti Kinerja'!M27</f>
        <v>4</v>
      </c>
      <c r="G26" s="118"/>
      <c r="H26" s="118"/>
      <c r="I26" s="118"/>
    </row>
    <row r="27" spans="2:9" ht="19.899999999999999" customHeight="1" x14ac:dyDescent="0.45">
      <c r="B27" s="25">
        <v>24</v>
      </c>
      <c r="C27" s="124"/>
      <c r="D27" s="94"/>
      <c r="E27" s="61" t="s">
        <v>46</v>
      </c>
      <c r="F27" s="25">
        <f>'Bukti Kinerja'!M29</f>
        <v>4</v>
      </c>
      <c r="G27" s="118"/>
      <c r="H27" s="118"/>
      <c r="I27" s="118"/>
    </row>
    <row r="28" spans="2:9" ht="19.899999999999999" customHeight="1" x14ac:dyDescent="0.45">
      <c r="B28" s="25">
        <v>25</v>
      </c>
      <c r="C28" s="124"/>
      <c r="D28" s="94"/>
      <c r="E28" s="23" t="s">
        <v>47</v>
      </c>
      <c r="F28" s="25">
        <f>'Bukti Kinerja'!M29</f>
        <v>4</v>
      </c>
      <c r="G28" s="118"/>
      <c r="H28" s="118"/>
      <c r="I28" s="118"/>
    </row>
    <row r="29" spans="2:9" ht="19.899999999999999" customHeight="1" x14ac:dyDescent="0.45">
      <c r="B29" s="25">
        <v>26</v>
      </c>
      <c r="C29" s="124"/>
      <c r="D29" s="94"/>
      <c r="E29" s="61" t="s">
        <v>48</v>
      </c>
      <c r="F29" s="25">
        <f>'Bukti Kinerja'!M30</f>
        <v>4</v>
      </c>
      <c r="G29" s="119"/>
      <c r="H29" s="119"/>
      <c r="I29" s="119"/>
    </row>
  </sheetData>
  <mergeCells count="23">
    <mergeCell ref="G20:G29"/>
    <mergeCell ref="F2:F3"/>
    <mergeCell ref="G2:I2"/>
    <mergeCell ref="C10:C19"/>
    <mergeCell ref="D10:D13"/>
    <mergeCell ref="D14:D16"/>
    <mergeCell ref="H20:H29"/>
    <mergeCell ref="I20:I29"/>
    <mergeCell ref="C20:C29"/>
    <mergeCell ref="D20:D24"/>
    <mergeCell ref="D25:D29"/>
    <mergeCell ref="H4:H8"/>
    <mergeCell ref="I4:I8"/>
    <mergeCell ref="G10:G19"/>
    <mergeCell ref="H10:H19"/>
    <mergeCell ref="I10:I19"/>
    <mergeCell ref="B2:B3"/>
    <mergeCell ref="C2:C3"/>
    <mergeCell ref="D2:D3"/>
    <mergeCell ref="E2:E3"/>
    <mergeCell ref="G4:G8"/>
    <mergeCell ref="C4:C8"/>
    <mergeCell ref="D5:D6"/>
  </mergeCells>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9BDD-AD95-4FE4-9D29-A96CE62F66A6}">
  <dimension ref="B2:F36"/>
  <sheetViews>
    <sheetView workbookViewId="0">
      <selection activeCell="F3" sqref="F3:F27"/>
    </sheetView>
  </sheetViews>
  <sheetFormatPr defaultRowHeight="14.25" x14ac:dyDescent="0.45"/>
  <cols>
    <col min="3" max="3" width="22.46484375" customWidth="1"/>
    <col min="4" max="4" width="14.3984375" style="28" customWidth="1"/>
    <col min="5" max="5" width="13.9296875" customWidth="1"/>
    <col min="6" max="6" width="47.53125" customWidth="1"/>
  </cols>
  <sheetData>
    <row r="2" spans="2:6" ht="43.5" customHeight="1" x14ac:dyDescent="0.45">
      <c r="B2" s="32" t="s">
        <v>39</v>
      </c>
      <c r="C2" s="32" t="s">
        <v>76</v>
      </c>
      <c r="D2" s="33" t="s">
        <v>77</v>
      </c>
      <c r="E2" s="33" t="s">
        <v>83</v>
      </c>
      <c r="F2" s="33" t="s">
        <v>92</v>
      </c>
    </row>
    <row r="3" spans="2:6" x14ac:dyDescent="0.45">
      <c r="B3" s="145">
        <v>1</v>
      </c>
      <c r="C3" s="145" t="s">
        <v>78</v>
      </c>
      <c r="D3" s="38">
        <v>1</v>
      </c>
      <c r="E3" s="27" t="str">
        <f>'Bukti Kinerja'!L5</f>
        <v>SANGAT KURANG</v>
      </c>
      <c r="F3" s="146"/>
    </row>
    <row r="4" spans="2:6" x14ac:dyDescent="0.45">
      <c r="B4" s="145"/>
      <c r="C4" s="145"/>
      <c r="D4" s="38">
        <v>2</v>
      </c>
      <c r="E4" s="27" t="s">
        <v>79</v>
      </c>
      <c r="F4" s="146"/>
    </row>
    <row r="5" spans="2:6" x14ac:dyDescent="0.45">
      <c r="B5" s="145"/>
      <c r="C5" s="145"/>
      <c r="D5" s="38">
        <v>3</v>
      </c>
      <c r="E5" s="27" t="s">
        <v>79</v>
      </c>
      <c r="F5" s="146"/>
    </row>
    <row r="6" spans="2:6" x14ac:dyDescent="0.45">
      <c r="B6" s="145"/>
      <c r="C6" s="145"/>
      <c r="D6" s="38">
        <v>4</v>
      </c>
      <c r="E6" s="27" t="s">
        <v>79</v>
      </c>
      <c r="F6" s="146"/>
    </row>
    <row r="7" spans="2:6" x14ac:dyDescent="0.45">
      <c r="B7" s="145"/>
      <c r="C7" s="145"/>
      <c r="D7" s="38">
        <v>5</v>
      </c>
      <c r="E7" s="27" t="s">
        <v>79</v>
      </c>
      <c r="F7" s="146"/>
    </row>
    <row r="8" spans="2:6" x14ac:dyDescent="0.45">
      <c r="B8" s="145"/>
      <c r="C8" s="145"/>
      <c r="D8" s="36">
        <v>6</v>
      </c>
      <c r="E8" s="34" t="s">
        <v>82</v>
      </c>
      <c r="F8" s="146"/>
    </row>
    <row r="9" spans="2:6" x14ac:dyDescent="0.45">
      <c r="B9" s="145"/>
      <c r="C9" s="145"/>
      <c r="D9" s="36">
        <v>7</v>
      </c>
      <c r="E9" s="34" t="s">
        <v>82</v>
      </c>
      <c r="F9" s="146"/>
    </row>
    <row r="10" spans="2:6" x14ac:dyDescent="0.45">
      <c r="B10" s="145"/>
      <c r="C10" s="145"/>
      <c r="D10" s="36">
        <v>8</v>
      </c>
      <c r="E10" s="27" t="s">
        <v>79</v>
      </c>
      <c r="F10" s="146"/>
    </row>
    <row r="11" spans="2:6" x14ac:dyDescent="0.45">
      <c r="B11" s="145"/>
      <c r="C11" s="145"/>
      <c r="D11" s="36">
        <v>9</v>
      </c>
      <c r="E11" s="27" t="s">
        <v>79</v>
      </c>
      <c r="F11" s="146"/>
    </row>
    <row r="12" spans="2:6" x14ac:dyDescent="0.45">
      <c r="B12" s="145"/>
      <c r="C12" s="145"/>
      <c r="D12" s="36">
        <v>10</v>
      </c>
      <c r="E12" s="27" t="s">
        <v>79</v>
      </c>
      <c r="F12" s="146"/>
    </row>
    <row r="13" spans="2:6" x14ac:dyDescent="0.45">
      <c r="B13" s="145"/>
      <c r="C13" s="145"/>
      <c r="D13" s="36">
        <v>11</v>
      </c>
      <c r="E13" s="27" t="s">
        <v>79</v>
      </c>
      <c r="F13" s="146"/>
    </row>
    <row r="14" spans="2:6" x14ac:dyDescent="0.45">
      <c r="B14" s="145"/>
      <c r="C14" s="145"/>
      <c r="D14" s="36">
        <v>12</v>
      </c>
      <c r="E14" s="27" t="s">
        <v>80</v>
      </c>
      <c r="F14" s="146"/>
    </row>
    <row r="15" spans="2:6" x14ac:dyDescent="0.45">
      <c r="B15" s="145"/>
      <c r="C15" s="145"/>
      <c r="D15" s="36">
        <v>13</v>
      </c>
      <c r="E15" s="27" t="s">
        <v>80</v>
      </c>
      <c r="F15" s="146"/>
    </row>
    <row r="16" spans="2:6" x14ac:dyDescent="0.45">
      <c r="B16" s="145"/>
      <c r="C16" s="145"/>
      <c r="D16" s="36">
        <v>14</v>
      </c>
      <c r="E16" s="27" t="s">
        <v>79</v>
      </c>
      <c r="F16" s="146"/>
    </row>
    <row r="17" spans="2:6" x14ac:dyDescent="0.45">
      <c r="B17" s="145"/>
      <c r="C17" s="145"/>
      <c r="D17" s="37">
        <v>15</v>
      </c>
      <c r="E17" s="27" t="s">
        <v>79</v>
      </c>
      <c r="F17" s="146"/>
    </row>
    <row r="18" spans="2:6" x14ac:dyDescent="0.45">
      <c r="B18" s="145"/>
      <c r="C18" s="145"/>
      <c r="D18" s="37">
        <v>16</v>
      </c>
      <c r="E18" s="27" t="s">
        <v>79</v>
      </c>
      <c r="F18" s="146"/>
    </row>
    <row r="19" spans="2:6" x14ac:dyDescent="0.45">
      <c r="B19" s="145"/>
      <c r="C19" s="145"/>
      <c r="D19" s="37">
        <v>17</v>
      </c>
      <c r="E19" s="27" t="s">
        <v>79</v>
      </c>
      <c r="F19" s="146"/>
    </row>
    <row r="20" spans="2:6" x14ac:dyDescent="0.45">
      <c r="B20" s="145"/>
      <c r="C20" s="145"/>
      <c r="D20" s="37">
        <v>18</v>
      </c>
      <c r="E20" s="27" t="s">
        <v>79</v>
      </c>
      <c r="F20" s="146"/>
    </row>
    <row r="21" spans="2:6" x14ac:dyDescent="0.45">
      <c r="B21" s="145"/>
      <c r="C21" s="145"/>
      <c r="D21" s="37">
        <v>19</v>
      </c>
      <c r="E21" s="35" t="s">
        <v>81</v>
      </c>
      <c r="F21" s="146"/>
    </row>
    <row r="22" spans="2:6" x14ac:dyDescent="0.45">
      <c r="B22" s="145"/>
      <c r="C22" s="145"/>
      <c r="D22" s="37">
        <v>20</v>
      </c>
      <c r="E22" s="35" t="s">
        <v>81</v>
      </c>
      <c r="F22" s="146"/>
    </row>
    <row r="23" spans="2:6" x14ac:dyDescent="0.45">
      <c r="B23" s="145"/>
      <c r="C23" s="145"/>
      <c r="D23" s="37">
        <v>21</v>
      </c>
      <c r="E23" s="27" t="s">
        <v>79</v>
      </c>
      <c r="F23" s="146"/>
    </row>
    <row r="24" spans="2:6" x14ac:dyDescent="0.45">
      <c r="B24" s="145"/>
      <c r="C24" s="145"/>
      <c r="D24" s="37">
        <v>22</v>
      </c>
      <c r="E24" s="27" t="s">
        <v>79</v>
      </c>
      <c r="F24" s="146"/>
    </row>
    <row r="25" spans="2:6" x14ac:dyDescent="0.45">
      <c r="B25" s="145"/>
      <c r="C25" s="145"/>
      <c r="D25" s="37">
        <v>23</v>
      </c>
      <c r="E25" s="27" t="s">
        <v>79</v>
      </c>
      <c r="F25" s="146"/>
    </row>
    <row r="26" spans="2:6" x14ac:dyDescent="0.45">
      <c r="B26" s="145"/>
      <c r="C26" s="145"/>
      <c r="D26" s="37">
        <v>24</v>
      </c>
      <c r="E26" s="27" t="s">
        <v>79</v>
      </c>
      <c r="F26" s="146"/>
    </row>
    <row r="27" spans="2:6" x14ac:dyDescent="0.45">
      <c r="B27" s="145"/>
      <c r="C27" s="145"/>
      <c r="D27" s="37">
        <v>25</v>
      </c>
      <c r="E27" s="27" t="s">
        <v>79</v>
      </c>
      <c r="F27" s="146"/>
    </row>
    <row r="28" spans="2:6" x14ac:dyDescent="0.45">
      <c r="B28" s="27">
        <v>2</v>
      </c>
      <c r="C28" s="14"/>
      <c r="D28" s="27"/>
      <c r="E28" s="14"/>
      <c r="F28" s="14"/>
    </row>
    <row r="29" spans="2:6" x14ac:dyDescent="0.45">
      <c r="B29" s="27">
        <v>3</v>
      </c>
      <c r="C29" s="14"/>
      <c r="D29" s="27"/>
      <c r="E29" s="14"/>
      <c r="F29" s="14"/>
    </row>
    <row r="30" spans="2:6" x14ac:dyDescent="0.45">
      <c r="B30" s="27">
        <v>4</v>
      </c>
      <c r="C30" s="14"/>
      <c r="D30" s="27"/>
      <c r="E30" s="14"/>
      <c r="F30" s="14"/>
    </row>
    <row r="31" spans="2:6" x14ac:dyDescent="0.45">
      <c r="B31" s="27">
        <v>5</v>
      </c>
      <c r="C31" s="14"/>
      <c r="D31" s="27"/>
      <c r="E31" s="14"/>
      <c r="F31" s="14"/>
    </row>
    <row r="32" spans="2:6" x14ac:dyDescent="0.45">
      <c r="B32" s="27">
        <v>6</v>
      </c>
      <c r="C32" s="14"/>
      <c r="D32" s="27"/>
      <c r="E32" s="14"/>
      <c r="F32" s="14"/>
    </row>
    <row r="33" spans="2:6" x14ac:dyDescent="0.45">
      <c r="B33" s="27">
        <v>7</v>
      </c>
      <c r="C33" s="14"/>
      <c r="D33" s="27"/>
      <c r="E33" s="14"/>
      <c r="F33" s="14"/>
    </row>
    <row r="34" spans="2:6" x14ac:dyDescent="0.45">
      <c r="B34" s="27">
        <v>8</v>
      </c>
      <c r="C34" s="14"/>
      <c r="D34" s="27"/>
      <c r="E34" s="14"/>
      <c r="F34" s="14"/>
    </row>
    <row r="35" spans="2:6" x14ac:dyDescent="0.45">
      <c r="B35" s="27">
        <v>9</v>
      </c>
      <c r="C35" s="14"/>
      <c r="D35" s="27"/>
      <c r="E35" s="14"/>
      <c r="F35" s="14"/>
    </row>
    <row r="36" spans="2:6" x14ac:dyDescent="0.45">
      <c r="B36" s="27" t="s">
        <v>129</v>
      </c>
      <c r="C36" s="14"/>
      <c r="D36" s="27"/>
      <c r="E36" s="14"/>
      <c r="F36" s="14"/>
    </row>
  </sheetData>
  <mergeCells count="3">
    <mergeCell ref="C3:C27"/>
    <mergeCell ref="B3:B27"/>
    <mergeCell ref="F3:F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93EA-E738-4685-B30B-EEBBA42B85A8}">
  <dimension ref="B2:J35"/>
  <sheetViews>
    <sheetView topLeftCell="A7" workbookViewId="0">
      <selection activeCell="J26" sqref="J26"/>
    </sheetView>
  </sheetViews>
  <sheetFormatPr defaultRowHeight="14.25" x14ac:dyDescent="0.45"/>
  <cols>
    <col min="2" max="4" width="18.1328125" customWidth="1"/>
    <col min="5" max="5" width="73" customWidth="1"/>
    <col min="8" max="8" width="2.3984375" customWidth="1"/>
  </cols>
  <sheetData>
    <row r="2" spans="2:10" x14ac:dyDescent="0.45">
      <c r="B2" s="147" t="s">
        <v>89</v>
      </c>
      <c r="C2" s="147"/>
      <c r="D2" s="147"/>
      <c r="E2" s="147"/>
    </row>
    <row r="3" spans="2:10" x14ac:dyDescent="0.45">
      <c r="B3" t="s">
        <v>85</v>
      </c>
    </row>
    <row r="4" spans="2:10" x14ac:dyDescent="0.45">
      <c r="B4" t="s">
        <v>86</v>
      </c>
    </row>
    <row r="5" spans="2:10" x14ac:dyDescent="0.45">
      <c r="B5" t="s">
        <v>87</v>
      </c>
    </row>
    <row r="6" spans="2:10" x14ac:dyDescent="0.45">
      <c r="B6" t="s">
        <v>251</v>
      </c>
    </row>
    <row r="7" spans="2:10" x14ac:dyDescent="0.45">
      <c r="B7" t="s">
        <v>90</v>
      </c>
    </row>
    <row r="9" spans="2:10" ht="28.5" x14ac:dyDescent="0.45">
      <c r="B9" s="73" t="s">
        <v>77</v>
      </c>
      <c r="C9" s="73" t="s">
        <v>83</v>
      </c>
      <c r="D9" s="73" t="s">
        <v>88</v>
      </c>
      <c r="E9" s="33" t="s">
        <v>123</v>
      </c>
    </row>
    <row r="10" spans="2:10" x14ac:dyDescent="0.45">
      <c r="B10" s="27">
        <v>1</v>
      </c>
      <c r="C10" s="27" t="str">
        <f>'Bukti Kinerja'!L5</f>
        <v>SANGAT KURANG</v>
      </c>
      <c r="D10" s="27">
        <f>'Bukti Kinerja'!M5</f>
        <v>1</v>
      </c>
      <c r="E10" s="148"/>
      <c r="G10">
        <v>4</v>
      </c>
      <c r="H10" t="s">
        <v>125</v>
      </c>
      <c r="I10" t="s">
        <v>124</v>
      </c>
    </row>
    <row r="11" spans="2:10" x14ac:dyDescent="0.45">
      <c r="B11" s="27">
        <v>1</v>
      </c>
      <c r="C11" s="27">
        <f>'Bukti Kinerja'!L6</f>
        <v>0</v>
      </c>
      <c r="D11" s="27">
        <f>'Bukti Kinerja'!M6</f>
        <v>3</v>
      </c>
      <c r="E11" s="149"/>
      <c r="G11">
        <v>3</v>
      </c>
      <c r="H11" t="s">
        <v>125</v>
      </c>
      <c r="I11" s="74" t="s">
        <v>127</v>
      </c>
      <c r="J11" s="74"/>
    </row>
    <row r="12" spans="2:10" x14ac:dyDescent="0.45">
      <c r="B12" s="27">
        <v>1</v>
      </c>
      <c r="C12" s="27">
        <f>'Bukti Kinerja'!L7</f>
        <v>0</v>
      </c>
      <c r="D12" s="27">
        <f>'Bukti Kinerja'!M7</f>
        <v>3</v>
      </c>
      <c r="E12" s="149"/>
      <c r="G12">
        <v>2</v>
      </c>
      <c r="H12" t="s">
        <v>125</v>
      </c>
      <c r="I12" s="74" t="s">
        <v>126</v>
      </c>
      <c r="J12" s="74"/>
    </row>
    <row r="13" spans="2:10" x14ac:dyDescent="0.45">
      <c r="B13" s="27">
        <v>1</v>
      </c>
      <c r="C13" s="27">
        <f>'Bukti Kinerja'!L8</f>
        <v>0</v>
      </c>
      <c r="D13" s="27">
        <f>'Bukti Kinerja'!M8</f>
        <v>4</v>
      </c>
      <c r="E13" s="149"/>
      <c r="G13">
        <v>1</v>
      </c>
      <c r="H13" t="s">
        <v>125</v>
      </c>
      <c r="I13" s="74" t="s">
        <v>128</v>
      </c>
      <c r="J13" s="74"/>
    </row>
    <row r="14" spans="2:10" x14ac:dyDescent="0.45">
      <c r="B14" s="27">
        <v>1</v>
      </c>
      <c r="C14" s="27">
        <f>'Bukti Kinerja'!L9</f>
        <v>0</v>
      </c>
      <c r="D14" s="27">
        <f>'Bukti Kinerja'!M9</f>
        <v>2</v>
      </c>
      <c r="E14" s="149"/>
    </row>
    <row r="15" spans="2:10" x14ac:dyDescent="0.45">
      <c r="B15" s="27">
        <v>1</v>
      </c>
      <c r="C15" s="27">
        <f>'Bukti Kinerja'!L11</f>
        <v>0</v>
      </c>
      <c r="D15" s="27">
        <f>'Bukti Kinerja'!M11</f>
        <v>4</v>
      </c>
      <c r="E15" s="149"/>
    </row>
    <row r="16" spans="2:10" x14ac:dyDescent="0.45">
      <c r="B16" s="27">
        <v>1</v>
      </c>
      <c r="C16" s="27">
        <f>'Bukti Kinerja'!L13</f>
        <v>0</v>
      </c>
      <c r="D16" s="27">
        <f>'Bukti Kinerja'!M13</f>
        <v>3</v>
      </c>
      <c r="E16" s="149"/>
    </row>
    <row r="17" spans="2:5" x14ac:dyDescent="0.45">
      <c r="B17" s="27">
        <v>1</v>
      </c>
      <c r="C17" s="27">
        <f>'Bukti Kinerja'!L14</f>
        <v>0</v>
      </c>
      <c r="D17" s="27">
        <f>'Bukti Kinerja'!M14</f>
        <v>3</v>
      </c>
      <c r="E17" s="149"/>
    </row>
    <row r="18" spans="2:5" x14ac:dyDescent="0.45">
      <c r="B18" s="27">
        <v>1</v>
      </c>
      <c r="C18" s="27">
        <f>'Bukti Kinerja'!L15</f>
        <v>0</v>
      </c>
      <c r="D18" s="27">
        <f>'Bukti Kinerja'!M15</f>
        <v>1</v>
      </c>
      <c r="E18" s="149"/>
    </row>
    <row r="19" spans="2:5" x14ac:dyDescent="0.45">
      <c r="B19" s="27">
        <v>1</v>
      </c>
      <c r="C19" s="27">
        <f>'Bukti Kinerja'!L16</f>
        <v>0</v>
      </c>
      <c r="D19" s="27">
        <f>'Bukti Kinerja'!M16</f>
        <v>3</v>
      </c>
      <c r="E19" s="149"/>
    </row>
    <row r="20" spans="2:5" x14ac:dyDescent="0.45">
      <c r="B20" s="27">
        <v>1</v>
      </c>
      <c r="C20" s="27">
        <f>'Bukti Kinerja'!L17</f>
        <v>0</v>
      </c>
      <c r="D20" s="27">
        <f>'Bukti Kinerja'!M17</f>
        <v>3</v>
      </c>
      <c r="E20" s="149"/>
    </row>
    <row r="21" spans="2:5" x14ac:dyDescent="0.45">
      <c r="B21" s="27">
        <v>1</v>
      </c>
      <c r="C21" s="27">
        <f>'Bukti Kinerja'!L18</f>
        <v>0</v>
      </c>
      <c r="D21" s="27">
        <f>'Bukti Kinerja'!M18</f>
        <v>1</v>
      </c>
      <c r="E21" s="149"/>
    </row>
    <row r="22" spans="2:5" x14ac:dyDescent="0.45">
      <c r="B22" s="27">
        <v>1</v>
      </c>
      <c r="C22" s="27">
        <f>'Bukti Kinerja'!L19</f>
        <v>0</v>
      </c>
      <c r="D22" s="27">
        <f>'Bukti Kinerja'!M19</f>
        <v>2</v>
      </c>
      <c r="E22" s="149"/>
    </row>
    <row r="23" spans="2:5" x14ac:dyDescent="0.45">
      <c r="B23" s="27">
        <v>1</v>
      </c>
      <c r="C23" s="27">
        <f>'Bukti Kinerja'!L20</f>
        <v>0</v>
      </c>
      <c r="D23" s="27">
        <f>'Bukti Kinerja'!M20</f>
        <v>3</v>
      </c>
      <c r="E23" s="149"/>
    </row>
    <row r="24" spans="2:5" x14ac:dyDescent="0.45">
      <c r="B24" s="27">
        <v>1</v>
      </c>
      <c r="C24" s="27">
        <f>'Bukti Kinerja'!L21</f>
        <v>0</v>
      </c>
      <c r="D24" s="27">
        <f>'Bukti Kinerja'!M21</f>
        <v>4</v>
      </c>
      <c r="E24" s="149"/>
    </row>
    <row r="25" spans="2:5" x14ac:dyDescent="0.45">
      <c r="B25" s="27">
        <v>1</v>
      </c>
      <c r="C25" s="27">
        <f>'Bukti Kinerja'!L22</f>
        <v>0</v>
      </c>
      <c r="D25" s="27">
        <f>'Bukti Kinerja'!M22</f>
        <v>4</v>
      </c>
      <c r="E25" s="149"/>
    </row>
    <row r="26" spans="2:5" x14ac:dyDescent="0.45">
      <c r="B26" s="27">
        <v>1</v>
      </c>
      <c r="C26" s="27">
        <f>'Bukti Kinerja'!L23</f>
        <v>0</v>
      </c>
      <c r="D26" s="27">
        <f>'Bukti Kinerja'!M23</f>
        <v>4</v>
      </c>
      <c r="E26" s="149"/>
    </row>
    <row r="27" spans="2:5" x14ac:dyDescent="0.45">
      <c r="B27" s="27">
        <v>1</v>
      </c>
      <c r="C27" s="27">
        <f>'Bukti Kinerja'!L24</f>
        <v>0</v>
      </c>
      <c r="D27" s="27">
        <f>'Bukti Kinerja'!M24</f>
        <v>4</v>
      </c>
      <c r="E27" s="149"/>
    </row>
    <row r="28" spans="2:5" x14ac:dyDescent="0.45">
      <c r="B28" s="27">
        <v>1</v>
      </c>
      <c r="C28" s="27">
        <f>'Bukti Kinerja'!L25</f>
        <v>0</v>
      </c>
      <c r="D28" s="27">
        <f>'Bukti Kinerja'!M25</f>
        <v>4</v>
      </c>
      <c r="E28" s="149"/>
    </row>
    <row r="29" spans="2:5" x14ac:dyDescent="0.45">
      <c r="B29" s="27">
        <v>1</v>
      </c>
      <c r="C29" s="27">
        <f>'Bukti Kinerja'!L26</f>
        <v>0</v>
      </c>
      <c r="D29" s="27">
        <f>'Bukti Kinerja'!M26</f>
        <v>4</v>
      </c>
      <c r="E29" s="149"/>
    </row>
    <row r="30" spans="2:5" x14ac:dyDescent="0.45">
      <c r="B30" s="27">
        <v>1</v>
      </c>
      <c r="C30" s="27">
        <f>'Bukti Kinerja'!L27</f>
        <v>0</v>
      </c>
      <c r="D30" s="27">
        <f>'Bukti Kinerja'!M27</f>
        <v>4</v>
      </c>
      <c r="E30" s="149"/>
    </row>
    <row r="31" spans="2:5" x14ac:dyDescent="0.45">
      <c r="B31" s="27">
        <v>1</v>
      </c>
      <c r="C31" s="27" t="e">
        <f>'Bukti Kinerja'!#REF!</f>
        <v>#REF!</v>
      </c>
      <c r="D31" s="27" t="e">
        <f>'Bukti Kinerja'!#REF!</f>
        <v>#REF!</v>
      </c>
      <c r="E31" s="149"/>
    </row>
    <row r="32" spans="2:5" x14ac:dyDescent="0.45">
      <c r="B32" s="27">
        <v>1</v>
      </c>
      <c r="C32" s="27" t="str">
        <f>'Bukti Kinerja'!L28</f>
        <v>SANGAT KURANG</v>
      </c>
      <c r="D32" s="27">
        <f>'Bukti Kinerja'!M28</f>
        <v>4</v>
      </c>
      <c r="E32" s="149"/>
    </row>
    <row r="33" spans="2:5" x14ac:dyDescent="0.45">
      <c r="B33" s="27">
        <v>1</v>
      </c>
      <c r="C33" s="27">
        <f>'Bukti Kinerja'!L29</f>
        <v>0</v>
      </c>
      <c r="D33" s="27">
        <f>'Bukti Kinerja'!M29</f>
        <v>4</v>
      </c>
      <c r="E33" s="149"/>
    </row>
    <row r="34" spans="2:5" x14ac:dyDescent="0.45">
      <c r="B34" s="27">
        <v>1</v>
      </c>
      <c r="C34" s="27">
        <f>'Bukti Kinerja'!L30</f>
        <v>0</v>
      </c>
      <c r="D34" s="27">
        <f>'Bukti Kinerja'!M30</f>
        <v>4</v>
      </c>
      <c r="E34" s="149"/>
    </row>
    <row r="35" spans="2:5" x14ac:dyDescent="0.45">
      <c r="B35" s="27">
        <v>1</v>
      </c>
      <c r="C35" s="27">
        <f>'Bukti Kinerja'!L31</f>
        <v>0</v>
      </c>
      <c r="D35" s="27">
        <f>'Bukti Kinerja'!M31</f>
        <v>0</v>
      </c>
      <c r="E35" s="150"/>
    </row>
  </sheetData>
  <mergeCells count="2">
    <mergeCell ref="B2:E2"/>
    <mergeCell ref="E10:E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Panduan Penggunaan</vt:lpstr>
      <vt:lpstr>KOMPONEN EKG</vt:lpstr>
      <vt:lpstr>1 (Mutu Guru) </vt:lpstr>
      <vt:lpstr>2 (PBM)</vt:lpstr>
      <vt:lpstr>3 (Influencing Factor)</vt:lpstr>
      <vt:lpstr>Kebutuhan Dokumen</vt:lpstr>
      <vt:lpstr>Bukti Kinerja</vt:lpstr>
      <vt:lpstr>Analisis Menyilang </vt:lpstr>
      <vt:lpstr>REKOMENDASI</vt:lpstr>
      <vt:lpstr>Report Kinerja Perorang</vt:lpstr>
      <vt:lpstr>a</vt:lpstr>
      <vt:lpstr>'Panduan Penggunaan'!Print_Area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YOGA</dc:creator>
  <cp:lastModifiedBy>LENOVO YOGA</cp:lastModifiedBy>
  <dcterms:created xsi:type="dcterms:W3CDTF">2025-12-22T15:10:07Z</dcterms:created>
  <dcterms:modified xsi:type="dcterms:W3CDTF">2026-05-30T12:01:42Z</dcterms:modified>
</cp:coreProperties>
</file>